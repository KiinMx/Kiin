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uady-my.sharepoint.com/personal/direccion_fmat_correo_uady_mx/Documents/Secretaria Administrativa/Horarios Escolares/Agosto - Diciembre 2026/"/>
    </mc:Choice>
  </mc:AlternateContent>
  <xr:revisionPtr revIDLastSave="0" documentId="8_{7D71CAFC-10D2-414F-A1C4-69C1F2568D45}" xr6:coauthVersionLast="47" xr6:coauthVersionMax="47" xr10:uidLastSave="{00000000-0000-0000-0000-000000000000}"/>
  <bookViews>
    <workbookView xWindow="0" yWindow="660" windowWidth="29400" windowHeight="18200" xr2:uid="{34D04E68-F53B-42E9-84E5-60BB935D8C7C}"/>
  </bookViews>
  <sheets>
    <sheet name="Hoja1" sheetId="1" r:id="rId1"/>
  </sheets>
  <definedNames>
    <definedName name="_xlnm._FilterDatabase" localSheetId="0" hidden="1">Hoja1!$A$1:$AA$1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8" i="1" l="1"/>
  <c r="N245" i="1"/>
  <c r="N155" i="1"/>
  <c r="N74" i="1"/>
  <c r="N154" i="1"/>
  <c r="N95" i="1"/>
  <c r="N94" i="1"/>
  <c r="N93" i="1"/>
  <c r="N79" i="1"/>
  <c r="N78" i="1"/>
  <c r="N77" i="1"/>
  <c r="N5" i="1"/>
  <c r="N160" i="1" l="1"/>
  <c r="N159" i="1"/>
  <c r="N135" i="1"/>
  <c r="N134" i="1"/>
  <c r="N121" i="1"/>
  <c r="N120" i="1"/>
  <c r="N33" i="1"/>
  <c r="N32" i="1"/>
  <c r="N174" i="1"/>
  <c r="N173" i="1"/>
  <c r="N204" i="1"/>
  <c r="N203" i="1"/>
  <c r="N107" i="1" l="1"/>
  <c r="I207" i="1"/>
  <c r="I206" i="1"/>
  <c r="I205" i="1"/>
  <c r="N150" i="1" l="1"/>
  <c r="N63" i="1"/>
  <c r="N157" i="1"/>
  <c r="N221" i="1"/>
  <c r="N106" i="1"/>
  <c r="N214" i="1"/>
  <c r="N192" i="1"/>
  <c r="N185" i="1"/>
  <c r="N71" i="1"/>
  <c r="N92" i="1" l="1"/>
  <c r="N252" i="1" l="1"/>
  <c r="N236" i="1"/>
  <c r="N70" i="1" l="1"/>
  <c r="N12" i="1"/>
  <c r="N88" i="1" l="1"/>
  <c r="N257" i="1"/>
  <c r="N50" i="1"/>
  <c r="N17" i="1"/>
  <c r="N38" i="1" l="1"/>
  <c r="N166" i="1"/>
  <c r="N178" i="1"/>
  <c r="N37" i="1"/>
  <c r="N170" i="1" l="1"/>
  <c r="N261" i="1" l="1"/>
  <c r="N249" i="1"/>
  <c r="N181" i="1"/>
  <c r="N180" i="1"/>
  <c r="N110" i="1"/>
  <c r="N39" i="1"/>
  <c r="N244" i="1"/>
  <c r="N83" i="1"/>
  <c r="N85" i="1"/>
  <c r="N233" i="1"/>
  <c r="N224" i="1"/>
  <c r="N223" i="1"/>
  <c r="N222" i="1"/>
  <c r="N158" i="1"/>
  <c r="N96" i="1"/>
  <c r="N54" i="1"/>
  <c r="N132" i="1"/>
  <c r="N264" i="1"/>
  <c r="N253" i="1"/>
  <c r="N215" i="1"/>
  <c r="N211" i="1"/>
  <c r="N210" i="1"/>
  <c r="N179" i="1"/>
  <c r="N146" i="1"/>
  <c r="N59" i="1"/>
  <c r="N262" i="1"/>
  <c r="N73" i="1"/>
  <c r="N72" i="1"/>
  <c r="N62" i="1"/>
  <c r="N247" i="1"/>
  <c r="N237" i="1"/>
  <c r="N103" i="1"/>
  <c r="N75" i="1"/>
  <c r="N46" i="1"/>
  <c r="N24" i="1"/>
  <c r="N8" i="1"/>
  <c r="K261" i="1"/>
  <c r="K249" i="1"/>
  <c r="K181" i="1"/>
  <c r="K180" i="1"/>
  <c r="K110" i="1"/>
  <c r="K39" i="1"/>
  <c r="K244" i="1"/>
  <c r="K83" i="1"/>
  <c r="K85" i="1"/>
  <c r="K233" i="1"/>
  <c r="K223" i="1"/>
  <c r="K222" i="1"/>
  <c r="K158" i="1"/>
  <c r="K96" i="1"/>
  <c r="K54" i="1"/>
  <c r="K132" i="1"/>
  <c r="K264" i="1"/>
  <c r="K215" i="1"/>
  <c r="K211" i="1"/>
  <c r="K210" i="1"/>
  <c r="K179" i="1"/>
  <c r="K146" i="1"/>
  <c r="K59" i="1"/>
  <c r="K262" i="1"/>
  <c r="K73" i="1"/>
  <c r="K62" i="1"/>
  <c r="K247" i="1"/>
  <c r="K237" i="1"/>
  <c r="K103" i="1"/>
  <c r="K75" i="1"/>
  <c r="K46" i="1"/>
  <c r="K24" i="1"/>
  <c r="K8" i="1"/>
  <c r="L23" i="1"/>
  <c r="N23" i="1" s="1"/>
  <c r="L18" i="1"/>
  <c r="K18" i="1" s="1"/>
  <c r="N260" i="1"/>
  <c r="N256" i="1"/>
  <c r="N255" i="1"/>
  <c r="N254" i="1"/>
  <c r="N258" i="1"/>
  <c r="N230" i="1"/>
  <c r="N229" i="1"/>
  <c r="N228" i="1"/>
  <c r="N193" i="1"/>
  <c r="N186" i="1"/>
  <c r="N156" i="1"/>
  <c r="N141" i="1"/>
  <c r="N246" i="1"/>
  <c r="N109" i="1"/>
  <c r="N108" i="1"/>
  <c r="N267" i="1"/>
  <c r="N266" i="1"/>
  <c r="N227" i="1"/>
  <c r="N226" i="1"/>
  <c r="N225" i="1"/>
  <c r="N220" i="1"/>
  <c r="N219" i="1"/>
  <c r="N114" i="1"/>
  <c r="N112" i="1"/>
  <c r="N111" i="1"/>
  <c r="N104" i="1"/>
  <c r="N90" i="1"/>
  <c r="N87" i="1"/>
  <c r="N86" i="1"/>
  <c r="N52" i="1"/>
  <c r="N51" i="1"/>
  <c r="N4" i="1"/>
  <c r="N251" i="1"/>
  <c r="N234" i="1"/>
  <c r="N130" i="1"/>
  <c r="N131" i="1"/>
  <c r="N250" i="1"/>
  <c r="N235" i="1"/>
  <c r="N232" i="1"/>
  <c r="N231" i="1"/>
  <c r="N218" i="1"/>
  <c r="N217" i="1"/>
  <c r="N216" i="1"/>
  <c r="N213" i="1"/>
  <c r="N212" i="1"/>
  <c r="N208" i="1"/>
  <c r="N209" i="1"/>
  <c r="N195" i="1"/>
  <c r="N191" i="1"/>
  <c r="N190" i="1"/>
  <c r="N184" i="1"/>
  <c r="N183" i="1"/>
  <c r="N168" i="1"/>
  <c r="N149" i="1"/>
  <c r="N148" i="1"/>
  <c r="N105" i="1"/>
  <c r="N58" i="1"/>
  <c r="N57" i="1"/>
  <c r="N56" i="1"/>
  <c r="N55" i="1"/>
  <c r="N41" i="1"/>
  <c r="N40" i="1"/>
  <c r="N169" i="1"/>
  <c r="N161" i="1"/>
  <c r="N153" i="1"/>
  <c r="N100" i="1"/>
  <c r="N98" i="1"/>
  <c r="N99" i="1"/>
  <c r="N91" i="1"/>
  <c r="N69" i="1"/>
  <c r="N67" i="1"/>
  <c r="N66" i="1"/>
  <c r="N65" i="1"/>
  <c r="N64" i="1"/>
  <c r="N61" i="1"/>
  <c r="N194" i="1"/>
  <c r="N97" i="1"/>
  <c r="N187" i="1"/>
  <c r="N188" i="1"/>
  <c r="N113" i="1"/>
  <c r="N49" i="1"/>
  <c r="N48" i="1"/>
  <c r="N47" i="1"/>
  <c r="N45" i="1"/>
  <c r="N25" i="1"/>
  <c r="N22" i="1"/>
  <c r="N19" i="1"/>
  <c r="N16" i="1"/>
  <c r="N15" i="1"/>
  <c r="N14" i="1"/>
  <c r="N13" i="1"/>
  <c r="N11" i="1"/>
  <c r="N10" i="1"/>
  <c r="N9" i="1"/>
  <c r="K23" i="1" l="1"/>
  <c r="N18" i="1"/>
</calcChain>
</file>

<file path=xl/sharedStrings.xml><?xml version="1.0" encoding="utf-8"?>
<sst xmlns="http://schemas.openxmlformats.org/spreadsheetml/2006/main" count="4665" uniqueCount="1041">
  <si>
    <t>ID</t>
  </si>
  <si>
    <t>Período</t>
  </si>
  <si>
    <t>Tipo</t>
  </si>
  <si>
    <t xml:space="preserve"> Asignatura</t>
  </si>
  <si>
    <t>Act</t>
  </si>
  <si>
    <t>GRUPO</t>
  </si>
  <si>
    <t>PE</t>
  </si>
  <si>
    <t>Semestre</t>
  </si>
  <si>
    <t>Horas a la semana</t>
  </si>
  <si>
    <t>Modalidad</t>
  </si>
  <si>
    <t>Hr.Pres</t>
  </si>
  <si>
    <t>Hr.Pres2</t>
  </si>
  <si>
    <t>Hr N/P</t>
  </si>
  <si>
    <t>Créditos</t>
  </si>
  <si>
    <t>Modelo</t>
  </si>
  <si>
    <t>Nombre(s)</t>
  </si>
  <si>
    <t>Apellido(s)</t>
  </si>
  <si>
    <t>Lunes</t>
  </si>
  <si>
    <t>Aula1</t>
  </si>
  <si>
    <t>Martes</t>
  </si>
  <si>
    <t>Aula2</t>
  </si>
  <si>
    <t>Miércoles</t>
  </si>
  <si>
    <t>Aula3</t>
  </si>
  <si>
    <t>Jueves</t>
  </si>
  <si>
    <t>Aula4</t>
  </si>
  <si>
    <t>Viernes</t>
  </si>
  <si>
    <t>Aula5</t>
  </si>
  <si>
    <t>Actualizado</t>
  </si>
  <si>
    <t>18-Libre-G2</t>
  </si>
  <si>
    <t>ago-dic 26</t>
  </si>
  <si>
    <t>Libre</t>
  </si>
  <si>
    <t>Habilidades blandas en el ámbito profesional</t>
  </si>
  <si>
    <t>M(2011)-M(2024)-A(2014)-CC(2016)-IS(2016)-E(2013)-IC(2013)</t>
  </si>
  <si>
    <t>3,3,3,3,3,3,4</t>
  </si>
  <si>
    <t>Regular</t>
  </si>
  <si>
    <t>MEFI</t>
  </si>
  <si>
    <t>Laura Carolina</t>
  </si>
  <si>
    <t>Sánchez Leal</t>
  </si>
  <si>
    <t>15:00 - 17:00</t>
  </si>
  <si>
    <t>C1</t>
  </si>
  <si>
    <t>C4</t>
  </si>
  <si>
    <t>19-LIS9-G1</t>
  </si>
  <si>
    <t>Obligatoria</t>
  </si>
  <si>
    <t>Administración de Proyectos II</t>
  </si>
  <si>
    <t>IS(2016)</t>
  </si>
  <si>
    <t>Julio César</t>
  </si>
  <si>
    <t>Díaz Mendoza</t>
  </si>
  <si>
    <t>12:30 - 14:30</t>
  </si>
  <si>
    <t>D1</t>
  </si>
  <si>
    <t>13:00 - 15:00</t>
  </si>
  <si>
    <t>C6</t>
  </si>
  <si>
    <t>19-LIS9-G2</t>
  </si>
  <si>
    <t>Carlos Benito</t>
  </si>
  <si>
    <t>Mojica Ruíz</t>
  </si>
  <si>
    <t>18:30 - 20:30</t>
  </si>
  <si>
    <t>17:00 - 19:00</t>
  </si>
  <si>
    <t>H4</t>
  </si>
  <si>
    <t>21-LCC9</t>
  </si>
  <si>
    <t>Administración de Proyectos Tecnológicos</t>
  </si>
  <si>
    <t>CC(2016)</t>
  </si>
  <si>
    <t>Emilio Gabriel</t>
  </si>
  <si>
    <t>Rejón Herrera</t>
  </si>
  <si>
    <t>CC6</t>
  </si>
  <si>
    <t>15:30 - 17:30</t>
  </si>
  <si>
    <t>H8</t>
  </si>
  <si>
    <t>22-LM24_5</t>
  </si>
  <si>
    <t>Álgebra Abstracta</t>
  </si>
  <si>
    <t>M(2024)</t>
  </si>
  <si>
    <t>MEFI-2</t>
  </si>
  <si>
    <t>Alejandro</t>
  </si>
  <si>
    <t>Argáez García</t>
  </si>
  <si>
    <t>18:00 - 19:30</t>
  </si>
  <si>
    <t>13:30 - 15:00</t>
  </si>
  <si>
    <t>H3</t>
  </si>
  <si>
    <t>17:30 - 19:00</t>
  </si>
  <si>
    <t>23-LM7</t>
  </si>
  <si>
    <t>Álgebra Abstracta II</t>
  </si>
  <si>
    <t>M(2011)</t>
  </si>
  <si>
    <t>Ordinario</t>
  </si>
  <si>
    <t>MEyA</t>
  </si>
  <si>
    <t>Jesús Efrén</t>
  </si>
  <si>
    <t>Pérez Terrazas</t>
  </si>
  <si>
    <t>17:00 - 18:30</t>
  </si>
  <si>
    <t>D2</t>
  </si>
  <si>
    <t>24-LCC2-Acompañamiento</t>
  </si>
  <si>
    <t>Álgebra Avanzada</t>
  </si>
  <si>
    <t>Acompañamiento</t>
  </si>
  <si>
    <t>Pedro David</t>
  </si>
  <si>
    <t>Sánchez Salazar</t>
  </si>
  <si>
    <t>16:00 - 18:30</t>
  </si>
  <si>
    <t>25-LEM1+LA1+LCC1</t>
  </si>
  <si>
    <t>Álgebra Intermedia</t>
  </si>
  <si>
    <t>E(2013)-CC(2016)-A(2014)</t>
  </si>
  <si>
    <t>Regular/Acompañamiento</t>
  </si>
  <si>
    <t>María Guadalupe</t>
  </si>
  <si>
    <t>Ordaz Arjona</t>
  </si>
  <si>
    <t>09:30 - 11:30</t>
  </si>
  <si>
    <t>C2</t>
  </si>
  <si>
    <t>25-LIC1+LIS1</t>
  </si>
  <si>
    <t>IC(2013)-IS(2016)</t>
  </si>
  <si>
    <t>Genny Rocío</t>
  </si>
  <si>
    <t>Uicab Ballote</t>
  </si>
  <si>
    <t>07:30 - 09:30</t>
  </si>
  <si>
    <t>09:00 - 11:00</t>
  </si>
  <si>
    <t>27-LA3-G1</t>
  </si>
  <si>
    <t>Álgebra Lineal</t>
  </si>
  <si>
    <t>A(2014)</t>
  </si>
  <si>
    <t>Alejandro Waldemar</t>
  </si>
  <si>
    <t>Cobá Magaña</t>
  </si>
  <si>
    <t>07:30 - 09:00</t>
  </si>
  <si>
    <t>H2</t>
  </si>
  <si>
    <t>H6</t>
  </si>
  <si>
    <t>27-LA3-G2</t>
  </si>
  <si>
    <t>Eduardo Camilo de los Reyes</t>
  </si>
  <si>
    <t>Hernández Mézquita</t>
  </si>
  <si>
    <t>27-LA3-G3</t>
  </si>
  <si>
    <t>Ma. Isabel</t>
  </si>
  <si>
    <t>Hernández</t>
  </si>
  <si>
    <t>H7</t>
  </si>
  <si>
    <t>30-LCC3-G1+LIS3-G1</t>
  </si>
  <si>
    <t>CC(2016)-IS(2016)</t>
  </si>
  <si>
    <t>09:30 - 11:00</t>
  </si>
  <si>
    <t>H1</t>
  </si>
  <si>
    <t>13:00 - 14:30</t>
  </si>
  <si>
    <t>12:00 - 13:30</t>
  </si>
  <si>
    <t>30-LCC3-G2+LIS3-G2</t>
  </si>
  <si>
    <t>30-LCC3-G3+LIS3-G3</t>
  </si>
  <si>
    <t>Carlos Felipe</t>
  </si>
  <si>
    <t>Ávila Cruz</t>
  </si>
  <si>
    <t>30-LCC3-G4+LIS3-G4</t>
  </si>
  <si>
    <t>Reymundo Ariel</t>
  </si>
  <si>
    <t>Itzá Balam</t>
  </si>
  <si>
    <t>34-LIC2-Acompañamiento</t>
  </si>
  <si>
    <t>IC(2013)</t>
  </si>
  <si>
    <t>15:30 - 18:00</t>
  </si>
  <si>
    <t>35-LEM3</t>
  </si>
  <si>
    <t xml:space="preserve">Álgebra Lineal </t>
  </si>
  <si>
    <t>E(2013)</t>
  </si>
  <si>
    <t>Carlos Jacob</t>
  </si>
  <si>
    <t>Rubio Barrios</t>
  </si>
  <si>
    <t>10:00 - 12:00</t>
  </si>
  <si>
    <t>11:00 - 13:00</t>
  </si>
  <si>
    <t>36-LM3</t>
  </si>
  <si>
    <t>Álgebra Lineal I</t>
  </si>
  <si>
    <t>M(2024)-M(2011)</t>
  </si>
  <si>
    <t>3,4</t>
  </si>
  <si>
    <t>Regular/Recursamiento/Ordinario</t>
  </si>
  <si>
    <t>MEFI 2-MEyA</t>
  </si>
  <si>
    <t>09:00 - 10:30</t>
  </si>
  <si>
    <t>C10</t>
  </si>
  <si>
    <t>37-LM5</t>
  </si>
  <si>
    <t>Álgebra Lineal II</t>
  </si>
  <si>
    <t>16:30 - 18:00</t>
  </si>
  <si>
    <t>C5</t>
  </si>
  <si>
    <t>15:30 - 17:00</t>
  </si>
  <si>
    <t>38-LCC1</t>
  </si>
  <si>
    <t>Álgebra Superior</t>
  </si>
  <si>
    <t>Victor Manuel</t>
  </si>
  <si>
    <t>Bautista Ancona</t>
  </si>
  <si>
    <t>08:00 - 09:30</t>
  </si>
  <si>
    <t>C3</t>
  </si>
  <si>
    <t>08:30 - 10:00</t>
  </si>
  <si>
    <t>D4</t>
  </si>
  <si>
    <t>39-LEM2-Acompañamiento</t>
  </si>
  <si>
    <t>14:30 - 16:30</t>
  </si>
  <si>
    <t>C8</t>
  </si>
  <si>
    <t>40-LIS2-Acompañamiento</t>
  </si>
  <si>
    <t>Luis Celso</t>
  </si>
  <si>
    <t>Chan Palomo</t>
  </si>
  <si>
    <t>13:30 - 16:00</t>
  </si>
  <si>
    <t>41-LA1</t>
  </si>
  <si>
    <t>Álgebra Superior I</t>
  </si>
  <si>
    <t>C7</t>
  </si>
  <si>
    <t>08:00 - 10:00</t>
  </si>
  <si>
    <t>42-LA1-G1-26</t>
  </si>
  <si>
    <t>A(2026)</t>
  </si>
  <si>
    <t>Mod2025</t>
  </si>
  <si>
    <t>11:30 - 13:00</t>
  </si>
  <si>
    <t>42-LA1-G2-26</t>
  </si>
  <si>
    <t>42-LA1-G3-26</t>
  </si>
  <si>
    <t>45-LA2-Acompañamiento</t>
  </si>
  <si>
    <t>Álgebra Superior II</t>
  </si>
  <si>
    <t>46-LCC26_1</t>
  </si>
  <si>
    <t>Álgebra Universitaria</t>
  </si>
  <si>
    <t>CC(2026)</t>
  </si>
  <si>
    <t>47-LEM26_1</t>
  </si>
  <si>
    <t>E(2026)</t>
  </si>
  <si>
    <t>Estelita</t>
  </si>
  <si>
    <t>García</t>
  </si>
  <si>
    <t>48-LIC1-G1-26</t>
  </si>
  <si>
    <t>IC(2026)</t>
  </si>
  <si>
    <t>MOD2025</t>
  </si>
  <si>
    <t>Oscar Iván</t>
  </si>
  <si>
    <t>Muñoz Carballo</t>
  </si>
  <si>
    <t>10:30 - 12:30</t>
  </si>
  <si>
    <t>48-LIC1-G2-26</t>
  </si>
  <si>
    <t>Yolisma Guadalupe</t>
  </si>
  <si>
    <t>López Fernández</t>
  </si>
  <si>
    <t>11:30 - 13:30</t>
  </si>
  <si>
    <t>50-LIS26_1-G1</t>
  </si>
  <si>
    <t>IS(2026)</t>
  </si>
  <si>
    <t>50-LIS26_1-G2</t>
  </si>
  <si>
    <t>Nery Karina</t>
  </si>
  <si>
    <t>Uc Hau</t>
  </si>
  <si>
    <t>D3</t>
  </si>
  <si>
    <t>50-LIS26_1-G3</t>
  </si>
  <si>
    <t>Adrián Alberto</t>
  </si>
  <si>
    <t>Ayora Quintal</t>
  </si>
  <si>
    <t>53-LM1</t>
  </si>
  <si>
    <t>Regular/Recursamiento</t>
  </si>
  <si>
    <t>10:30 - 12:00</t>
  </si>
  <si>
    <t>54-LCC1+LIS1</t>
  </si>
  <si>
    <t>Algoritmia</t>
  </si>
  <si>
    <t>Francisco José</t>
  </si>
  <si>
    <t>Moo Mena</t>
  </si>
  <si>
    <t>CC8</t>
  </si>
  <si>
    <t>CC4</t>
  </si>
  <si>
    <t>55-LCC4-Acompañamiento</t>
  </si>
  <si>
    <t>Análisis de Algoritmos</t>
  </si>
  <si>
    <t>Francisco Alejandro</t>
  </si>
  <si>
    <t>Madera Ramírez</t>
  </si>
  <si>
    <t>56-LA7-G1</t>
  </si>
  <si>
    <t>Análisis de Supervivencia</t>
  </si>
  <si>
    <t>José Luis</t>
  </si>
  <si>
    <t>Batún Cutz</t>
  </si>
  <si>
    <t>18:30 - 21:00</t>
  </si>
  <si>
    <t>CC3</t>
  </si>
  <si>
    <t>56-LA7-G2</t>
  </si>
  <si>
    <t>16:30 - 19:00</t>
  </si>
  <si>
    <t>58-LM3</t>
  </si>
  <si>
    <t>Análisis Numérico</t>
  </si>
  <si>
    <t>Carlos Francisco</t>
  </si>
  <si>
    <t>Brito Loeza</t>
  </si>
  <si>
    <t>59-LM24_5</t>
  </si>
  <si>
    <t>Análisis Real</t>
  </si>
  <si>
    <t>Eric José</t>
  </si>
  <si>
    <t>Ávila Vales</t>
  </si>
  <si>
    <t>16:00 - 17:30</t>
  </si>
  <si>
    <t>60-LCC6-Acompañamiento</t>
  </si>
  <si>
    <t>Análisis y Diseño de Software</t>
  </si>
  <si>
    <t>MEFI-MEyA</t>
  </si>
  <si>
    <t>María Enriqueta</t>
  </si>
  <si>
    <t>Castellanos Bolaños</t>
  </si>
  <si>
    <t>10:30 - 13:00</t>
  </si>
  <si>
    <t>CC5</t>
  </si>
  <si>
    <t>61-LIC7</t>
  </si>
  <si>
    <t>Arquitectura de Computadoras</t>
  </si>
  <si>
    <t>Otilio</t>
  </si>
  <si>
    <t>Santos Aguilar</t>
  </si>
  <si>
    <t>19:00 - 20:30</t>
  </si>
  <si>
    <t>62-LCC4-Acompañamiento</t>
  </si>
  <si>
    <t>Arquitectura y Organización de Computadoras</t>
  </si>
  <si>
    <t>14:00 - 16:30</t>
  </si>
  <si>
    <t>63-LIS3-G1</t>
  </si>
  <si>
    <t>63-LIS3-G2</t>
  </si>
  <si>
    <t>Fernando del Carmen</t>
  </si>
  <si>
    <t>Cobá Arias</t>
  </si>
  <si>
    <t>CC1</t>
  </si>
  <si>
    <t>13:30 - 15:30</t>
  </si>
  <si>
    <t>63-LIS3-G3</t>
  </si>
  <si>
    <t>Laboratorio de redes</t>
  </si>
  <si>
    <t>63-LIS3-G4</t>
  </si>
  <si>
    <t>Johan Jair</t>
  </si>
  <si>
    <t>Estrada López</t>
  </si>
  <si>
    <t>67-LIS5-G1</t>
  </si>
  <si>
    <t>Arquitecturas de Software</t>
  </si>
  <si>
    <t>Víctor Hugo</t>
  </si>
  <si>
    <t>Menéndez Domínguez</t>
  </si>
  <si>
    <t>14:00 - 15:30</t>
  </si>
  <si>
    <t>67-LIS5-G2</t>
  </si>
  <si>
    <t>David</t>
  </si>
  <si>
    <t>Soberanis Ramírez</t>
  </si>
  <si>
    <t>19:30 - 21:00</t>
  </si>
  <si>
    <t>67-LIS5-G3</t>
  </si>
  <si>
    <t>Leydi Ofelia</t>
  </si>
  <si>
    <t>Caballero Chi</t>
  </si>
  <si>
    <t>15:00 - 16:30</t>
  </si>
  <si>
    <t>70-LIS6-Acompañamiento</t>
  </si>
  <si>
    <t>Aseguramiento de la calidad del Software</t>
  </si>
  <si>
    <t>Edwin Jesús</t>
  </si>
  <si>
    <t>León Bojórquez</t>
  </si>
  <si>
    <t>71-LA7-G1</t>
  </si>
  <si>
    <t>Cálculo Actuarial para el Seguro de No Vida</t>
  </si>
  <si>
    <t>María Auxilio</t>
  </si>
  <si>
    <t>Chan García</t>
  </si>
  <si>
    <t>71-LA7-G2</t>
  </si>
  <si>
    <t>73-LA5-G1</t>
  </si>
  <si>
    <t>Cálculo Actuarial para el Seguro de Vida I</t>
  </si>
  <si>
    <t>Eduardo Camilo Carlos</t>
  </si>
  <si>
    <t>Hernández García</t>
  </si>
  <si>
    <t>16:00 - 18:00</t>
  </si>
  <si>
    <t>73-LA5-G2</t>
  </si>
  <si>
    <t>Jesús Enrique</t>
  </si>
  <si>
    <t>López Flores</t>
  </si>
  <si>
    <t>18:00 - 20:00</t>
  </si>
  <si>
    <t>75-LA6-Acompañamiento</t>
  </si>
  <si>
    <t>Cálculo Actuarial para el Seguro de Vida II</t>
  </si>
  <si>
    <t>76-LM5</t>
  </si>
  <si>
    <t>Cálculo Avanzado</t>
  </si>
  <si>
    <t>Lucía Belén</t>
  </si>
  <si>
    <t>Gamboa Salazar</t>
  </si>
  <si>
    <t>77-LEM3</t>
  </si>
  <si>
    <t>Cálculo Diferencial</t>
  </si>
  <si>
    <t>78-LCC2-Acompañamiento+LIC2-Acompañamiento+LIS2-Acompañamiento</t>
  </si>
  <si>
    <t>IS(2016)-CC(2016)-IC(2013)</t>
  </si>
  <si>
    <t>Jorge Carlos</t>
  </si>
  <si>
    <t>Lugo Jiménez</t>
  </si>
  <si>
    <t>80-LCC3-G5+LIS3-G5</t>
  </si>
  <si>
    <t>Cálculo Integral</t>
  </si>
  <si>
    <t>María del Pilar</t>
  </si>
  <si>
    <t>Rosado Ocaña</t>
  </si>
  <si>
    <t>10:00 - 11:30</t>
  </si>
  <si>
    <t>80-LIC3-G1+LIS3-G1</t>
  </si>
  <si>
    <t>IS(2016)-IC(2013)</t>
  </si>
  <si>
    <t>Heidy Cecilia</t>
  </si>
  <si>
    <t>Escamilla Puc</t>
  </si>
  <si>
    <t>80-LIC3-G2+LIS3-G2</t>
  </si>
  <si>
    <t>Felipe de Jesús</t>
  </si>
  <si>
    <t>Rosado Vázquez</t>
  </si>
  <si>
    <t>80-LIC3-G3+LIS3-G3</t>
  </si>
  <si>
    <t>Abraham Moisés</t>
  </si>
  <si>
    <t>Canul Pech</t>
  </si>
  <si>
    <t>80-LIC3-G4+LIS3-G4</t>
  </si>
  <si>
    <t>Safira Amigai</t>
  </si>
  <si>
    <t>Pech Chi</t>
  </si>
  <si>
    <t>84-LM3</t>
  </si>
  <si>
    <t>Ángel Gabriel</t>
  </si>
  <si>
    <t>Estrella González</t>
  </si>
  <si>
    <t>85-LA3-G1</t>
  </si>
  <si>
    <t>Cálculo Multivariable</t>
  </si>
  <si>
    <t>85-LA3-G2</t>
  </si>
  <si>
    <t>85-LA3-G3</t>
  </si>
  <si>
    <t>C9</t>
  </si>
  <si>
    <t>12:30 - 14:00</t>
  </si>
  <si>
    <t>88-LA2-Acompañamiento</t>
  </si>
  <si>
    <t>Cálculo Univariable</t>
  </si>
  <si>
    <t>89-LCC4-Acompañamiento+LIC4-Acompañamiento</t>
  </si>
  <si>
    <t>Cálculo Vectorial</t>
  </si>
  <si>
    <t>IC(2013)-CC(2016)</t>
  </si>
  <si>
    <t>90-LIC5</t>
  </si>
  <si>
    <t>Circuitos Electrónicos I</t>
  </si>
  <si>
    <t>Laboratorio de robótica</t>
  </si>
  <si>
    <t>Laboratorio de electrónica</t>
  </si>
  <si>
    <t>91-LIC6-Acompañamiento</t>
  </si>
  <si>
    <t>Circuitos Electrónicos II</t>
  </si>
  <si>
    <t>11:00 - 13:30</t>
  </si>
  <si>
    <t>92-LM1</t>
  </si>
  <si>
    <t>Ciudadanía y Cultura de Paz</t>
  </si>
  <si>
    <t/>
  </si>
  <si>
    <t>VIRTUAL AUTOGESTIVA</t>
  </si>
  <si>
    <t>93-LIS5-G1</t>
  </si>
  <si>
    <t>Construcción de Software</t>
  </si>
  <si>
    <t>Antonio Armando</t>
  </si>
  <si>
    <t>Aguileta Güemez</t>
  </si>
  <si>
    <t>18:30 - 20:00</t>
  </si>
  <si>
    <t>93-LIS5-G2</t>
  </si>
  <si>
    <t>Daniel Fernando</t>
  </si>
  <si>
    <t>Baas Colonia</t>
  </si>
  <si>
    <t>14:30 - 16:00</t>
  </si>
  <si>
    <t>93-LIS5-G3</t>
  </si>
  <si>
    <t>René Humberto</t>
  </si>
  <si>
    <t>Moreno Acevedo</t>
  </si>
  <si>
    <t>96-LA1-G1+LA1-G1-26</t>
  </si>
  <si>
    <t>Contabilidad Financiera</t>
  </si>
  <si>
    <t>A(2014)-A(2026)</t>
  </si>
  <si>
    <t>Jesús</t>
  </si>
  <si>
    <t>Burgos Bastarrachea</t>
  </si>
  <si>
    <t>96-LA1-G2+LA1-G2-26</t>
  </si>
  <si>
    <t>96-LA1-G3+LA1-G3-26</t>
  </si>
  <si>
    <t>99-LIC8-Acompañamiento</t>
  </si>
  <si>
    <t>Control Digital</t>
  </si>
  <si>
    <t>Arturo</t>
  </si>
  <si>
    <t>Espinosa Romero</t>
  </si>
  <si>
    <t>10:00 - 12:30</t>
  </si>
  <si>
    <t>100-LM3</t>
  </si>
  <si>
    <t>Cultura Emprendedora</t>
  </si>
  <si>
    <t>101-LA2+LCC2+LEM2+LIC2+LIS2</t>
  </si>
  <si>
    <t>Cultura Maya</t>
  </si>
  <si>
    <t>E(2013)-IC(2023)-A(2014)-CC(2016)-IS(2016)</t>
  </si>
  <si>
    <t>102-LIS5-G1</t>
  </si>
  <si>
    <t>Desarrollo de Aplicaciones Web</t>
  </si>
  <si>
    <t>102-LIS5-G2</t>
  </si>
  <si>
    <t>102-LIS5-G3</t>
  </si>
  <si>
    <t>Juan Pablo</t>
  </si>
  <si>
    <t>Ucán Pech</t>
  </si>
  <si>
    <t>105-LIC4-Acompañamiento</t>
  </si>
  <si>
    <t>Desarrollo de Software a Pequeña Escala</t>
  </si>
  <si>
    <t>Daniel</t>
  </si>
  <si>
    <t>G. Cantón Puerto</t>
  </si>
  <si>
    <t>106-LCC7</t>
  </si>
  <si>
    <t>Desarrollo y Mantenimiento de Software</t>
  </si>
  <si>
    <t>107-LEM1</t>
  </si>
  <si>
    <t>Didáctica del Álgebra</t>
  </si>
  <si>
    <t>Eddie de Jesús</t>
  </si>
  <si>
    <t>Aparicio Landa</t>
  </si>
  <si>
    <t>11:00 - 12:30</t>
  </si>
  <si>
    <t>108-LEM4-Acompañamiento</t>
  </si>
  <si>
    <t>Didáctica del Cálculo</t>
  </si>
  <si>
    <t>09:30 - 12:00</t>
  </si>
  <si>
    <t>F3</t>
  </si>
  <si>
    <t>109-LIS5-G1</t>
  </si>
  <si>
    <t>Diseño de Bases de Datos</t>
  </si>
  <si>
    <t>109-LIS5-G2</t>
  </si>
  <si>
    <t>Pasos Ruiz</t>
  </si>
  <si>
    <t>109-LIS5-G3</t>
  </si>
  <si>
    <t>112-LIS4-Acompañamiento</t>
  </si>
  <si>
    <t>Diseño de Software</t>
  </si>
  <si>
    <t>13:00 - 15:30</t>
  </si>
  <si>
    <t>CC7</t>
  </si>
  <si>
    <t>113-LEM5</t>
  </si>
  <si>
    <t>Diseños de aprendizaje</t>
  </si>
  <si>
    <t>12:00 - 14:00</t>
  </si>
  <si>
    <t>114-LCC5</t>
  </si>
  <si>
    <t>Ecuaciones Diferenciales</t>
  </si>
  <si>
    <t>16:30 - 18:30</t>
  </si>
  <si>
    <t>115-LEM5</t>
  </si>
  <si>
    <t>116-LIC5</t>
  </si>
  <si>
    <t>117-LM5</t>
  </si>
  <si>
    <t>Ecuaciones Diferenciales Ordinarias</t>
  </si>
  <si>
    <t>118-LEM26_1</t>
  </si>
  <si>
    <t>Educación Socioemocional para la Docencia en Matemáticas</t>
  </si>
  <si>
    <t>Isabel</t>
  </si>
  <si>
    <t>Tuyub Sánchez</t>
  </si>
  <si>
    <t>119-LIC4-Acompañamiento</t>
  </si>
  <si>
    <t>Electricidad y Magnetismo</t>
  </si>
  <si>
    <t>Aarón Abraham</t>
  </si>
  <si>
    <t>Aguayo González</t>
  </si>
  <si>
    <t>120-LEM5</t>
  </si>
  <si>
    <t>Entornos virtuales de aprendizaje</t>
  </si>
  <si>
    <t>CC2</t>
  </si>
  <si>
    <t>121-LA5-G1</t>
  </si>
  <si>
    <t>Estadística No Paramétrica</t>
  </si>
  <si>
    <t>Salvador</t>
  </si>
  <si>
    <t>Medina Peralta</t>
  </si>
  <si>
    <t>121-LA5-G2</t>
  </si>
  <si>
    <t>123-LCC3</t>
  </si>
  <si>
    <t>Estructuras de Datos</t>
  </si>
  <si>
    <t>Anabel</t>
  </si>
  <si>
    <t>Martín González</t>
  </si>
  <si>
    <t>124-LIC3-G1</t>
  </si>
  <si>
    <t>124-LIC3-G2</t>
  </si>
  <si>
    <t>Ricardo</t>
  </si>
  <si>
    <t>Legarda Sáenz</t>
  </si>
  <si>
    <t>126-LIS4-Acompañamiento</t>
  </si>
  <si>
    <t>Jorge Ricardo</t>
  </si>
  <si>
    <t>Gómez Montalvo</t>
  </si>
  <si>
    <t>127-LIS7-G1</t>
  </si>
  <si>
    <t>Experimentación en Ingeniería de Software</t>
  </si>
  <si>
    <t>Raúl Antonio</t>
  </si>
  <si>
    <t>Aguilar Vera</t>
  </si>
  <si>
    <t>127-LIS7-G2</t>
  </si>
  <si>
    <t>129-LIC3</t>
  </si>
  <si>
    <t>Física</t>
  </si>
  <si>
    <t>130-LIS1</t>
  </si>
  <si>
    <t>Fundamentos de Ingeniería de Software</t>
  </si>
  <si>
    <t>130-LIS26_1-G1</t>
  </si>
  <si>
    <t>Edgar Antonio</t>
  </si>
  <si>
    <t>Cambranes Martínez</t>
  </si>
  <si>
    <t>130-LIS26_1-G2</t>
  </si>
  <si>
    <t>130-LIS26_1-G3</t>
  </si>
  <si>
    <t>134-LCC26_1-G1</t>
  </si>
  <si>
    <t>Fundamentos de Programación</t>
  </si>
  <si>
    <t>135-LIC1+LCC26_1-G2</t>
  </si>
  <si>
    <t>CC(2026)-IC(2026)-IC(2013)</t>
  </si>
  <si>
    <t>Regular/Regular-Acompañamiento</t>
  </si>
  <si>
    <t>136-LIC1-G1-26</t>
  </si>
  <si>
    <t>López Martínez</t>
  </si>
  <si>
    <t>136-LIC1-G2-26</t>
  </si>
  <si>
    <t>Luis Fernando</t>
  </si>
  <si>
    <t>Curi Quintal</t>
  </si>
  <si>
    <t>138-LIS26_1-G1</t>
  </si>
  <si>
    <t>138-LIS26_1-G2</t>
  </si>
  <si>
    <t>138-LIS26_1-G3</t>
  </si>
  <si>
    <t>138-LIS26_1-G4</t>
  </si>
  <si>
    <t>Luis Ramiro</t>
  </si>
  <si>
    <t>Basto Díaz</t>
  </si>
  <si>
    <t>142-LA1-G1-26</t>
  </si>
  <si>
    <t>Geometría Analítica</t>
  </si>
  <si>
    <t>Magaña Cáceres</t>
  </si>
  <si>
    <t>142-LA1-G2-26</t>
  </si>
  <si>
    <t>Didier Adán</t>
  </si>
  <si>
    <t>Solís Gamboa</t>
  </si>
  <si>
    <t>08:30 - 10:30</t>
  </si>
  <si>
    <t>142-LA1-G3-26</t>
  </si>
  <si>
    <t>Miguel Ángel</t>
  </si>
  <si>
    <t>Can Ek</t>
  </si>
  <si>
    <t>145-LM1</t>
  </si>
  <si>
    <t>Navarrete Carrillo</t>
  </si>
  <si>
    <t>146-LA1+LCC1+LIC1</t>
  </si>
  <si>
    <t>Geometría Analítica I</t>
  </si>
  <si>
    <t>A(2014)-CC(2016)-IC(2013)</t>
  </si>
  <si>
    <t>Pablo Agustín</t>
  </si>
  <si>
    <t>Vázquez Montejo</t>
  </si>
  <si>
    <t>146-LEM1+LIS1</t>
  </si>
  <si>
    <t>IS(2016)-E(2013)</t>
  </si>
  <si>
    <t>148-LEM2-Acompañamiento</t>
  </si>
  <si>
    <t>Geometría Analítica II</t>
  </si>
  <si>
    <t>149-LCC26_1</t>
  </si>
  <si>
    <t>Geometría Analítica y Trigonometría</t>
  </si>
  <si>
    <t>150-LIC1-G1-26</t>
  </si>
  <si>
    <t>150-LIC1-G2-26</t>
  </si>
  <si>
    <t>Ángel Adrián</t>
  </si>
  <si>
    <t>Bacelis Jiménez</t>
  </si>
  <si>
    <t>152-LIS26_1-G1</t>
  </si>
  <si>
    <t>152-LIS26_1-G2</t>
  </si>
  <si>
    <t>152-LIS26_1-G3</t>
  </si>
  <si>
    <t>155-LM3</t>
  </si>
  <si>
    <t>Geometría Euclidiana</t>
  </si>
  <si>
    <t>3, 1</t>
  </si>
  <si>
    <t>156-LEM1+LEM26_1</t>
  </si>
  <si>
    <t>Geometría Plana y del Espacio/Geometría Euclidiana</t>
  </si>
  <si>
    <t>E(2026)-E(2013)</t>
  </si>
  <si>
    <t>157-LCC9</t>
  </si>
  <si>
    <t>Gráficas por Computadora</t>
  </si>
  <si>
    <t>158-LA1-G1-26</t>
  </si>
  <si>
    <t>Herramientas Computacionales</t>
  </si>
  <si>
    <t>Jorge Miguel</t>
  </si>
  <si>
    <t>Guzmán Arjona</t>
  </si>
  <si>
    <t>158-LA1-G2-26</t>
  </si>
  <si>
    <t>158-LA1-G3-26</t>
  </si>
  <si>
    <t>Héctor Gabriel</t>
  </si>
  <si>
    <t>Monroy Cáceres</t>
  </si>
  <si>
    <t>158-LA1-G4-26+LA1</t>
  </si>
  <si>
    <t>A(2026)-A(2014)</t>
  </si>
  <si>
    <t>11:30 - 14:30</t>
  </si>
  <si>
    <t>162-LA4-Acompañamiento</t>
  </si>
  <si>
    <t>Inferencia Estadística</t>
  </si>
  <si>
    <t>Jorge Armando</t>
  </si>
  <si>
    <t>Argáez Sosa</t>
  </si>
  <si>
    <t>11:30 - 14:00</t>
  </si>
  <si>
    <t>163-LEM6-Acompañamiento</t>
  </si>
  <si>
    <t>Rubén Alejandro</t>
  </si>
  <si>
    <t>Cool Padilla</t>
  </si>
  <si>
    <t>164-LIS5-G1</t>
  </si>
  <si>
    <t>164-LIS5-G2</t>
  </si>
  <si>
    <t>164-LCC6-G3+LIS5-G3</t>
  </si>
  <si>
    <t>IS(2016)-CC(2016)</t>
  </si>
  <si>
    <t>5, 6</t>
  </si>
  <si>
    <t>LIS Regular-LCC Acomp</t>
  </si>
  <si>
    <t>167-LM5</t>
  </si>
  <si>
    <t>Felipe Reyes</t>
  </si>
  <si>
    <t>Tuz Poot</t>
  </si>
  <si>
    <t>17:30 - 19:30</t>
  </si>
  <si>
    <t>167-LM24_5</t>
  </si>
  <si>
    <t>169-LEM3</t>
  </si>
  <si>
    <t>Informática Educativa</t>
  </si>
  <si>
    <t>Landy Elena</t>
  </si>
  <si>
    <t>Sosa Moguel</t>
  </si>
  <si>
    <t>170-LIS7-G1</t>
  </si>
  <si>
    <t>Innovación Tecnológica</t>
  </si>
  <si>
    <t>Jorge Alberto</t>
  </si>
  <si>
    <t>Ríos Martínez</t>
  </si>
  <si>
    <t>170-LIS7-G2</t>
  </si>
  <si>
    <t>172-LIC5</t>
  </si>
  <si>
    <t>Inteligencia Artificial</t>
  </si>
  <si>
    <t>IC(2013))</t>
  </si>
  <si>
    <t>5, 9</t>
  </si>
  <si>
    <t>Víctor Emanuel</t>
  </si>
  <si>
    <t>Uc Cetina</t>
  </si>
  <si>
    <t>19:00 - 21:00</t>
  </si>
  <si>
    <t>172-LCC9</t>
  </si>
  <si>
    <t>174-LIS6-Acompañamiento</t>
  </si>
  <si>
    <t>Interacción Humano Computadora</t>
  </si>
  <si>
    <t>09:00 - 11:30</t>
  </si>
  <si>
    <t>175-LIC1-G1-26</t>
  </si>
  <si>
    <t>Introducción a la Ingeniería en Computación</t>
  </si>
  <si>
    <t>Gabriel</t>
  </si>
  <si>
    <t>Murrieta Hernández</t>
  </si>
  <si>
    <t>175-LIC1-G2-26</t>
  </si>
  <si>
    <t>177-LEM7</t>
  </si>
  <si>
    <t>Introducción a la Investigación en Matemática Educativa</t>
  </si>
  <si>
    <t>178-LA1-G1-26</t>
  </si>
  <si>
    <t>Introducción al Cálculo</t>
  </si>
  <si>
    <t>178-LA1-G2-26</t>
  </si>
  <si>
    <t>178-LA1-G3-26</t>
  </si>
  <si>
    <t>181-LEM26_1</t>
  </si>
  <si>
    <t>182-LM1</t>
  </si>
  <si>
    <t>183-LA5-G1</t>
  </si>
  <si>
    <t>Investigación de Operaciones</t>
  </si>
  <si>
    <t>Martín Leonel</t>
  </si>
  <si>
    <t>Chi Pérez</t>
  </si>
  <si>
    <t>183-LA5-G2</t>
  </si>
  <si>
    <t>185-LEM6</t>
  </si>
  <si>
    <t>Laboratorio Didáctico</t>
  </si>
  <si>
    <t>186-LEM2-Acompañamiento</t>
  </si>
  <si>
    <t>Lectura y Redacción Técnica</t>
  </si>
  <si>
    <t>16:00 - 17:00</t>
  </si>
  <si>
    <t>187-LCC26_1</t>
  </si>
  <si>
    <t>Lógica y Conjuntos</t>
  </si>
  <si>
    <t>07:30 - 10:00</t>
  </si>
  <si>
    <t>188-LEM26_1</t>
  </si>
  <si>
    <t>María Dolores</t>
  </si>
  <si>
    <t>Matus Basto</t>
  </si>
  <si>
    <t>189-LIC1-G1-26</t>
  </si>
  <si>
    <t>Roger Fernando</t>
  </si>
  <si>
    <t>Tun Díaz</t>
  </si>
  <si>
    <t>08:00 - 10:30</t>
  </si>
  <si>
    <t>189-LIC1-G2-26</t>
  </si>
  <si>
    <t>Havert Jesús</t>
  </si>
  <si>
    <t>Zapata Ruiz</t>
  </si>
  <si>
    <t>191-LIS26_1-G1</t>
  </si>
  <si>
    <t>191-LIS26_1-G2</t>
  </si>
  <si>
    <t>191-LIS26_1-G3</t>
  </si>
  <si>
    <t>194-LM1</t>
  </si>
  <si>
    <t>195-LA4-Acompañamiento</t>
  </si>
  <si>
    <t>Macroeconomía</t>
  </si>
  <si>
    <t>Daniel Abraham</t>
  </si>
  <si>
    <t>Adrián Osorio</t>
  </si>
  <si>
    <t>196-LIC2-Acompañamiento</t>
  </si>
  <si>
    <t>Matemáticas Discretas</t>
  </si>
  <si>
    <t>Reyes Magaña</t>
  </si>
  <si>
    <t>15:00 - 17:30</t>
  </si>
  <si>
    <t>197-LCC2-Acompañamiento+LIS2-Acompañamiento</t>
  </si>
  <si>
    <t>198-LM1</t>
  </si>
  <si>
    <t>Naomi Alexandra</t>
  </si>
  <si>
    <t>Martínez Ku</t>
  </si>
  <si>
    <t>199-LA3-G1</t>
  </si>
  <si>
    <t>Matemáticas Financieras</t>
  </si>
  <si>
    <t>Mariana</t>
  </si>
  <si>
    <t>Escalante Barrera</t>
  </si>
  <si>
    <t>199-LA3-G2</t>
  </si>
  <si>
    <t>199-LA3-G3</t>
  </si>
  <si>
    <t>Luis Armando</t>
  </si>
  <si>
    <t>Luna Gamboa</t>
  </si>
  <si>
    <t>202-LCC7</t>
  </si>
  <si>
    <t>Metodología de la Investigación</t>
  </si>
  <si>
    <t>14:00 - 16:00</t>
  </si>
  <si>
    <t>203-LCC7</t>
  </si>
  <si>
    <t>Métodos Numéricos</t>
  </si>
  <si>
    <t>204-LIC3-G1</t>
  </si>
  <si>
    <t>204-LIC3-G2</t>
  </si>
  <si>
    <t>207-LA3-G1</t>
  </si>
  <si>
    <t>Microeconomia</t>
  </si>
  <si>
    <t>207-LA3-G2</t>
  </si>
  <si>
    <t>207-LA3-G3</t>
  </si>
  <si>
    <t>210-LCC5</t>
  </si>
  <si>
    <t>Modelado de Datos</t>
  </si>
  <si>
    <t>211-LEM3</t>
  </si>
  <si>
    <t>Paradigmas Educativos</t>
  </si>
  <si>
    <t>212-LA7</t>
  </si>
  <si>
    <t>Portafolios de Inversión</t>
  </si>
  <si>
    <t>213-</t>
  </si>
  <si>
    <t>Prácticas Profesionales</t>
  </si>
  <si>
    <t>214-</t>
  </si>
  <si>
    <t>215-</t>
  </si>
  <si>
    <t>216-</t>
  </si>
  <si>
    <t>217-</t>
  </si>
  <si>
    <t>218-LM6</t>
  </si>
  <si>
    <t>MEYA</t>
  </si>
  <si>
    <t>219-LCC26_1</t>
  </si>
  <si>
    <t>Precálculo</t>
  </si>
  <si>
    <t>220-LIC1-G1-26</t>
  </si>
  <si>
    <t>220-LIC1-G2-26</t>
  </si>
  <si>
    <t>222-LIS26_1-G1</t>
  </si>
  <si>
    <t>222-LIS26_1-G2</t>
  </si>
  <si>
    <t>222-LIS26_1-G3</t>
  </si>
  <si>
    <t>225-LCC5</t>
  </si>
  <si>
    <t>Probabilidad</t>
  </si>
  <si>
    <t>226-LEM5</t>
  </si>
  <si>
    <t>227-LIC4-Acompañamiento</t>
  </si>
  <si>
    <t>228-LIS4-Acompañamiento</t>
  </si>
  <si>
    <t>229-LA3-G1</t>
  </si>
  <si>
    <t>Probabilidad I</t>
  </si>
  <si>
    <t>229-LA3-G2</t>
  </si>
  <si>
    <t>229-LA3-G3</t>
  </si>
  <si>
    <t>232-LA4-Acompañamiento</t>
  </si>
  <si>
    <t>Probabilidad II</t>
  </si>
  <si>
    <t>Ernesto Antonio</t>
  </si>
  <si>
    <t>Guerrero Lara</t>
  </si>
  <si>
    <t>233-LA5-G1</t>
  </si>
  <si>
    <t>Procesos Estocásticos</t>
  </si>
  <si>
    <t>Henry Gaspar</t>
  </si>
  <si>
    <t>Pantí Trejo</t>
  </si>
  <si>
    <t>233-LA5-G2</t>
  </si>
  <si>
    <t>235-LA7</t>
  </si>
  <si>
    <t>Productos Derivados</t>
  </si>
  <si>
    <t>236-LA5-G1</t>
  </si>
  <si>
    <t>Programación</t>
  </si>
  <si>
    <t>236-LA5-G2</t>
  </si>
  <si>
    <t>Irving Aarón</t>
  </si>
  <si>
    <t>Cifuentes González</t>
  </si>
  <si>
    <t>236-LA5-G3</t>
  </si>
  <si>
    <t>239-LIC2-Acompañamiento</t>
  </si>
  <si>
    <t>240-LCC2-Acompañamiento+LIS2-Acompañamiento</t>
  </si>
  <si>
    <t>Programación Estructurada</t>
  </si>
  <si>
    <t>Cubículo</t>
  </si>
  <si>
    <t>241-LIS3-G4</t>
  </si>
  <si>
    <t>Programación Orientada a Objetos</t>
  </si>
  <si>
    <t>3, 4</t>
  </si>
  <si>
    <t>241-LIS3-G1</t>
  </si>
  <si>
    <t>241-LIS3-G2</t>
  </si>
  <si>
    <t>241-LIS3-G3</t>
  </si>
  <si>
    <t>245-LIC7</t>
  </si>
  <si>
    <t xml:space="preserve">Redes de Computadoras </t>
  </si>
  <si>
    <t>246-LIS7-G1</t>
  </si>
  <si>
    <t>Redes y Seguridad de Computadoras</t>
  </si>
  <si>
    <t>246-LIS7-G2</t>
  </si>
  <si>
    <t>Enrique</t>
  </si>
  <si>
    <t>Ayala Franco</t>
  </si>
  <si>
    <t>248-LA5-G1</t>
  </si>
  <si>
    <t>Regresión Lineal</t>
  </si>
  <si>
    <t>248-LA5-G2</t>
  </si>
  <si>
    <t>250-LIS6-Acompañamiento</t>
  </si>
  <si>
    <t>Requisitos de Software</t>
  </si>
  <si>
    <t>251-LA1+LCC1+LEM1+LIC1+LIS1</t>
  </si>
  <si>
    <t>Responsabilidad Social Universitaria</t>
  </si>
  <si>
    <t>E(2013)-IC(2023)-A(2014)-CC(2016)-IS(2026)</t>
  </si>
  <si>
    <t>252-LA7-G1</t>
  </si>
  <si>
    <t>Seguridad Social y Pensiones Privadas</t>
  </si>
  <si>
    <t>252-LA7-G2</t>
  </si>
  <si>
    <t>254-LIC6-Acompañamiento</t>
  </si>
  <si>
    <t>Señales y Sistemas</t>
  </si>
  <si>
    <t>255-LA7</t>
  </si>
  <si>
    <t>Servicio Social</t>
  </si>
  <si>
    <t>256-LCC7</t>
  </si>
  <si>
    <t>257-</t>
  </si>
  <si>
    <t>258-LIC8</t>
  </si>
  <si>
    <t>259-LIS7</t>
  </si>
  <si>
    <t>260-LM7</t>
  </si>
  <si>
    <t>261-LIC8-Acompañamiento</t>
  </si>
  <si>
    <t>Sistemas de Comunicación</t>
  </si>
  <si>
    <t>Heredia López</t>
  </si>
  <si>
    <t>262-LIC9</t>
  </si>
  <si>
    <t>Sistemas de Tiempo Real</t>
  </si>
  <si>
    <t>Canul Chin</t>
  </si>
  <si>
    <t>263-LIC5</t>
  </si>
  <si>
    <t>Sistemas Digitales I</t>
  </si>
  <si>
    <t>264-LIC6-Acompañamiento</t>
  </si>
  <si>
    <t>Sistemas Digitales II</t>
  </si>
  <si>
    <t>265-LIC7</t>
  </si>
  <si>
    <t>Sistemas Embebidos</t>
  </si>
  <si>
    <t>266-LIS4-Acompañamiento</t>
  </si>
  <si>
    <t>Sistemas Operativos</t>
  </si>
  <si>
    <t>267-LA9</t>
  </si>
  <si>
    <t>Solvencia y Basilea</t>
  </si>
  <si>
    <t>En línea Síncrona</t>
  </si>
  <si>
    <t>268-LCC6+LEM8+LIC9+LIS6</t>
  </si>
  <si>
    <t>Taller de Emprendedores/Desarrollo de Emprendedores</t>
  </si>
  <si>
    <t>IS(2016)-CC(2016)-E(2013)-IC(2013)</t>
  </si>
  <si>
    <t>6,6,8,9</t>
  </si>
  <si>
    <t>269-LCC6+LEM8+LIC9+LIS6</t>
  </si>
  <si>
    <t>270-LA8-Acompañamiento</t>
  </si>
  <si>
    <t>Técnicas de Muestreo</t>
  </si>
  <si>
    <t>271-LCC3-G1+LIC3-G1+LIS3-G1</t>
  </si>
  <si>
    <t>Teoría de la Computación</t>
  </si>
  <si>
    <t>CC(2016)-IS(2016)-IC(2013)</t>
  </si>
  <si>
    <t>271-LCC3-G2+LIC3-G2+LIS3-G2</t>
  </si>
  <si>
    <t>271-LCC3-G3+LIC3-G3+LIS3-G3</t>
  </si>
  <si>
    <t>271-LCC3-G4+LIC3-G4+LIS3-G4</t>
  </si>
  <si>
    <t>271-LCC3-G5+LIC3-G5+LIS3-G5</t>
  </si>
  <si>
    <t>276-LM7</t>
  </si>
  <si>
    <t>Teoría de la Medida e Integración</t>
  </si>
  <si>
    <t>277-LCC5</t>
  </si>
  <si>
    <t>Teoría de Lenguajes de Programación</t>
  </si>
  <si>
    <t>278-LIS4-Acompañamiento</t>
  </si>
  <si>
    <t>279-LEM6-Acompañamiento</t>
  </si>
  <si>
    <t>Teorías en Matemática Educativa</t>
  </si>
  <si>
    <t>280-LM24_5</t>
  </si>
  <si>
    <t>Topología</t>
  </si>
  <si>
    <t>Waldemar del Jesús</t>
  </si>
  <si>
    <t>Barrera Vargas</t>
  </si>
  <si>
    <t>281-LA4-Acompañamiento</t>
  </si>
  <si>
    <t>Valuación de Activos Financieros</t>
  </si>
  <si>
    <t>282-LM7</t>
  </si>
  <si>
    <t>Variable Compleja</t>
  </si>
  <si>
    <t>283-LIS7-G1</t>
  </si>
  <si>
    <t>Verificación y Validación de Software</t>
  </si>
  <si>
    <t>283-LIS7-G2</t>
  </si>
  <si>
    <t>372-LM7</t>
  </si>
  <si>
    <t>Optativa</t>
  </si>
  <si>
    <t>Análisis Funcional no Lineal</t>
  </si>
  <si>
    <t>Omar</t>
  </si>
  <si>
    <t>Muñiz Pérez</t>
  </si>
  <si>
    <t>373-LIC5-G1+LIC7-G1+LIC9-G1</t>
  </si>
  <si>
    <t>Aplicaciones con Arduino y Raspberry</t>
  </si>
  <si>
    <t>Fernando Alberto</t>
  </si>
  <si>
    <t>Ruiz Cardeña</t>
  </si>
  <si>
    <t>374-LA5-G1+LA7-G1+LA9-G1</t>
  </si>
  <si>
    <t>Aprendizaje Automático</t>
  </si>
  <si>
    <t>375-LEM5-G1+LEM6-G1+LEM7-G1</t>
  </si>
  <si>
    <t>Aspectos Cognitivos en resolución de problemas</t>
  </si>
  <si>
    <t>376-LCC7-G3+LCC9-G3+LIS7-G3+LIS9-G3</t>
  </si>
  <si>
    <t>Búsqueda y Recuperación de Información en la Web</t>
  </si>
  <si>
    <t>377-LM5-G1+LM24_5-G1+LA5-G2+LEM5-G1+LEM6-G1+LEM7-G1+LA7-G2+LA9-G2</t>
  </si>
  <si>
    <t>Cálculo Fraccional</t>
  </si>
  <si>
    <t>A(2014)-M(2024)-M(2011)-E(2013)</t>
  </si>
  <si>
    <t>3, 4, 5</t>
  </si>
  <si>
    <t>Roberto Carlos</t>
  </si>
  <si>
    <t>Balcázar Araiza</t>
  </si>
  <si>
    <t>378-LIC9-G4+LCC9-G1+LIS9-G1</t>
  </si>
  <si>
    <t>CCNA Redes empresariales, seguridad y automatización</t>
  </si>
  <si>
    <t>IC(2013)-CC(2016)-IS(2016)</t>
  </si>
  <si>
    <t>Sergio Antonio</t>
  </si>
  <si>
    <t>Cervera Loeza</t>
  </si>
  <si>
    <t>379-LM3-G1</t>
  </si>
  <si>
    <t>Desarrollo histórico de las matemáticas</t>
  </si>
  <si>
    <t>M(2024)-M(2011)-E(2013)</t>
  </si>
  <si>
    <t>2,2,5</t>
  </si>
  <si>
    <t>380-LIC5-G2+LIC7-G2+LIC9-G2</t>
  </si>
  <si>
    <t>Física de Dispositivos Semiconductores</t>
  </si>
  <si>
    <t>382-LM7</t>
  </si>
  <si>
    <t>Geometría Riemanniana</t>
  </si>
  <si>
    <t>José Matías</t>
  </si>
  <si>
    <t>Navarro Soza</t>
  </si>
  <si>
    <t>383-LCC5-G3+LIC7-G5</t>
  </si>
  <si>
    <t xml:space="preserve">Gestión de Dispositivos de TI </t>
  </si>
  <si>
    <t>CC(2016)-IC(2013)</t>
  </si>
  <si>
    <t>4, 7</t>
  </si>
  <si>
    <t>María del Carmen</t>
  </si>
  <si>
    <t>Zozaya Ayuso</t>
  </si>
  <si>
    <t>F1</t>
  </si>
  <si>
    <t>384-LA7-G3+LA9-G3</t>
  </si>
  <si>
    <t>Gestión y Modelado de Datos Aplicado</t>
  </si>
  <si>
    <t>D8</t>
  </si>
  <si>
    <t>385-LM5+LM24_5</t>
  </si>
  <si>
    <t>Hyperbolic Geometry</t>
  </si>
  <si>
    <t>386-LIS7-G1+LIC9-G1</t>
  </si>
  <si>
    <t>Ingeniería de Software asistida por IA</t>
  </si>
  <si>
    <t>Sergio David</t>
  </si>
  <si>
    <t>Franco Garduño</t>
  </si>
  <si>
    <t>387-LEM5-G2+LEM6-G2+LEM7-G2</t>
  </si>
  <si>
    <t>Instrumentos de evaluación por competencias</t>
  </si>
  <si>
    <t>+García Estelita</t>
  </si>
  <si>
    <t>Jarero Kumul Martha Imelda</t>
  </si>
  <si>
    <t>388-LCC5-G4+LIS5-G3+LCC7-G4+LCC9-G4+LIS7-G4+LIS9-G4</t>
  </si>
  <si>
    <t>Inteligencia Artificial para Gráficas por Computadora</t>
  </si>
  <si>
    <t>389-LIC5-G3+LIC7-G3+LIC9-G3</t>
  </si>
  <si>
    <t>Internet de las cosas con el ESP8266</t>
  </si>
  <si>
    <t>390-LCC7-G3+LCC9-G4+LIS7-G4+LIS9-G4</t>
  </si>
  <si>
    <t>Introducción a la Fusión de Datos en el Contexto del Reconocimiento de la Actividad Humana</t>
  </si>
  <si>
    <t>391-LEM7</t>
  </si>
  <si>
    <t>Laboratorio de Estadística Computacional con R</t>
  </si>
  <si>
    <t>392-LA7-G4+LA9-G4</t>
  </si>
  <si>
    <t>Métodos cuantitativos en modelación financiera</t>
  </si>
  <si>
    <t>393-LCC5-G1+LIC5-G4+LIS5-G1+LCC7-G1+LCC9-G1</t>
  </si>
  <si>
    <t>Modelos de Programación Paralela</t>
  </si>
  <si>
    <t>394-LA7+LA9</t>
  </si>
  <si>
    <t>Modelos de riesgo de crédito</t>
  </si>
  <si>
    <t>395-LCC5-G2+LIC5-G5+LIS5-G2+LCC7-G2+LCC9-G2+LIC7-G4+LIC9-G4+LIS7-G2+LIS9-G2</t>
  </si>
  <si>
    <t>Procesamiento de Lenguaje Natural</t>
  </si>
  <si>
    <t>396-LIS7</t>
  </si>
  <si>
    <t>Introducción a la Programación Orientada a Objetos con Python</t>
  </si>
  <si>
    <t>397-LEM5-G2+LEM6-G2+LEM7-G2</t>
  </si>
  <si>
    <t>Proyectos en Educación Matemática para una Cultura de Paz</t>
  </si>
  <si>
    <t>398-LCC7-G2+LIC7-G4+LIS7-G3+LCC9-G2+LIC9-G3+LIS9-G2</t>
  </si>
  <si>
    <t>Seguridad en Infraestructura de TI</t>
  </si>
  <si>
    <t>Pastor Enrique</t>
  </si>
  <si>
    <t>Góngora Cárdenas</t>
  </si>
  <si>
    <t>399-LIC5-G1+LIC7-G1+LIC9-G1</t>
  </si>
  <si>
    <t>Simulación de Circuitos Electrónicos</t>
  </si>
  <si>
    <t>400-LIC5-G2+LIC7-G2+LIC9-G2</t>
  </si>
  <si>
    <t>Sistemas Ciberfísicos</t>
  </si>
  <si>
    <t>401-LIS7-G1+LIS9-G1</t>
  </si>
  <si>
    <t>Software Architecture in Practice</t>
  </si>
  <si>
    <t>Carlos José</t>
  </si>
  <si>
    <t>Herrera Plata</t>
  </si>
  <si>
    <t>Síncrona</t>
  </si>
  <si>
    <t>402-LIC5-G3+LIC7-G3+LIC9-G3</t>
  </si>
  <si>
    <t>Temas Selectos de Programación de Sistemas</t>
  </si>
  <si>
    <t>15:30 - 18:30</t>
  </si>
  <si>
    <t>403-LM3-G2</t>
  </si>
  <si>
    <t>Teoría de Números</t>
  </si>
  <si>
    <t>3, 3, 5</t>
  </si>
  <si>
    <t>MEFI-MEYA</t>
  </si>
  <si>
    <t>404-LA7+LEM7+LM7+LA9</t>
  </si>
  <si>
    <t>Métodos Multivariados para Modelación y Predicción</t>
  </si>
  <si>
    <t>A(2014)-M(2011)-E(2013)</t>
  </si>
  <si>
    <t>6-6-7</t>
  </si>
  <si>
    <t>455-LA7+LCC7-G1+LIS7-G2+LIC7-G3+LCC9-G3+LIC9-G2+LA9+LIS9-G3</t>
  </si>
  <si>
    <t>Salesforce + AI / Vibe Coding Program</t>
  </si>
  <si>
    <t>+Cambranes Martínez Edgar Antonio</t>
  </si>
  <si>
    <t>Hernández Zurita Rafael</t>
  </si>
  <si>
    <t>456-LM24_5-G3+LM5-G3</t>
  </si>
  <si>
    <t>Aspectos matemáticos de la relatividad</t>
  </si>
  <si>
    <t>Regular/Ordinario</t>
  </si>
  <si>
    <t>MEFI2-MEYA</t>
  </si>
  <si>
    <t>457-Libre-G2</t>
  </si>
  <si>
    <t>Manejo de emociones y sentimientos</t>
  </si>
  <si>
    <t>MEFI-MEFI2</t>
  </si>
  <si>
    <t>700-PII1-G1</t>
  </si>
  <si>
    <t>Inglés</t>
  </si>
  <si>
    <t>PII</t>
  </si>
  <si>
    <t>Patricia</t>
  </si>
  <si>
    <t>Medina Bojorquez</t>
  </si>
  <si>
    <t>700-PII1-G2</t>
  </si>
  <si>
    <t>460-Libre-G1</t>
  </si>
  <si>
    <t>Herramientas para la Comunicación Científica</t>
  </si>
  <si>
    <t>M(2011)-M(2024)-A(2014)-E(2013)-IC(2013)-CC(2016)-IS(2016)</t>
  </si>
  <si>
    <t>1, 1, 1, 3, 4, 1, 1</t>
  </si>
  <si>
    <t>500-MCM1</t>
  </si>
  <si>
    <t>Seminario de Investigación</t>
  </si>
  <si>
    <t>MCM</t>
  </si>
  <si>
    <t>501-MCM1</t>
  </si>
  <si>
    <t>Álgebra</t>
  </si>
  <si>
    <t xml:space="preserve">Jesús Efrén </t>
  </si>
  <si>
    <t>502-MCM1</t>
  </si>
  <si>
    <t>Análisis Numérico Avanzado</t>
  </si>
  <si>
    <t>503-MCM1</t>
  </si>
  <si>
    <t>Análisis Matemático</t>
  </si>
  <si>
    <t>504-MCM1</t>
  </si>
  <si>
    <t>Geometría y Topología</t>
  </si>
  <si>
    <t>505-MCM1</t>
  </si>
  <si>
    <t>Introducción a la Estadística Matemática</t>
  </si>
  <si>
    <t>506-MCM3</t>
  </si>
  <si>
    <t>Seminario de Tesis II (Evelyn Alicia Ara Heredia)</t>
  </si>
  <si>
    <t>+Lara Rodríguez José Alejandro</t>
  </si>
  <si>
    <t>Brito Loeza Carlos Francisco</t>
  </si>
  <si>
    <t>507-MCM3</t>
  </si>
  <si>
    <t>Seminario de Tesis II (Victor Daniel King Sánchez)</t>
  </si>
  <si>
    <t>508-MCM3-G2</t>
  </si>
  <si>
    <t>Seminario de Tesis II (Alfonso Abraham Ávila Palma)</t>
  </si>
  <si>
    <t>José Alejandro</t>
  </si>
  <si>
    <t>Lara Rodríguez</t>
  </si>
  <si>
    <t>509-MCM3</t>
  </si>
  <si>
    <t>Seminario de Tesis II (Ronaldo Álvarez Rivera)</t>
  </si>
  <si>
    <t>510-MCM3</t>
  </si>
  <si>
    <t>Seminario de Tesis II  (Haverth Jesús Zapata Ruiz)</t>
  </si>
  <si>
    <t>+Navarrete Carrillo Juan Pablo</t>
  </si>
  <si>
    <t>Barrera Vargas Waldemar del Jesús</t>
  </si>
  <si>
    <t>511-MCM3-G2</t>
  </si>
  <si>
    <t>Teoría de Números Algebraicos</t>
  </si>
  <si>
    <t>512-MCM3-G2</t>
  </si>
  <si>
    <t>Teoría de Campos de Funciones</t>
  </si>
  <si>
    <t xml:space="preserve">José Alejandro </t>
  </si>
  <si>
    <t>513-MCM1-G1</t>
  </si>
  <si>
    <t>Geometría Hiperbólica Compleja II</t>
  </si>
  <si>
    <t>514-MCM3-G1</t>
  </si>
  <si>
    <t>Teoría Geométrica de Grupos II</t>
  </si>
  <si>
    <t>515-MCM3-G5</t>
  </si>
  <si>
    <t>Temas Selectos  de Geometría Algebraica</t>
  </si>
  <si>
    <t>516-MCM3-G6</t>
  </si>
  <si>
    <t>Bimódulos parametrizadores</t>
  </si>
  <si>
    <t>517-MCC3</t>
  </si>
  <si>
    <t>Seminario de Investigación III (Amado Ignacio García Albert)</t>
  </si>
  <si>
    <t>MCC</t>
  </si>
  <si>
    <t>518-MCC3</t>
  </si>
  <si>
    <t>Seminario de Investigación III (Manuel Isaac González Chi)</t>
  </si>
  <si>
    <t>+Uc Cetina Víctor Emanuel</t>
  </si>
  <si>
    <t>Ríos Martínez Jorge Alberto</t>
  </si>
  <si>
    <t>519-MCC3</t>
  </si>
  <si>
    <t>Seminario de Investigación III (Hector Arturo Hernández Escalante)</t>
  </si>
  <si>
    <t>Martín González Anabel</t>
  </si>
  <si>
    <t>520-MCC3</t>
  </si>
  <si>
    <t>Seminario de Investigación III (William Felipe Cetina Pech)</t>
  </si>
  <si>
    <t>521-MCC3</t>
  </si>
  <si>
    <t>Seminario de Investigación III (Sebastian Meléndez Zorrilla)</t>
  </si>
  <si>
    <t>+Aguilar Vera Raúl Antonio</t>
  </si>
  <si>
    <t>Ucán Pech Juan Pablo</t>
  </si>
  <si>
    <t>522-MCC1</t>
  </si>
  <si>
    <t>Ciencia de Datos</t>
  </si>
  <si>
    <t xml:space="preserve">Anabel </t>
  </si>
  <si>
    <t>523-MCC1</t>
  </si>
  <si>
    <t>Matemáticas para Ciencias de la Computación</t>
  </si>
  <si>
    <t>524-MCC1</t>
  </si>
  <si>
    <t>Programación Avanzada</t>
  </si>
  <si>
    <t>525-MCC1</t>
  </si>
  <si>
    <t>526-MCC1</t>
  </si>
  <si>
    <t>Seminario de Investigación I</t>
  </si>
  <si>
    <t>08:30 - 09:30</t>
  </si>
  <si>
    <t>527-MCC3-G1</t>
  </si>
  <si>
    <t>Temas Selectos de Redes Neuronales Profundas</t>
  </si>
  <si>
    <t>528-MCC3-G2</t>
  </si>
  <si>
    <t>Redes neuronales de tiempo continuo para series de tiempo. </t>
  </si>
  <si>
    <t>529-MCC3-G3</t>
  </si>
  <si>
    <t>Temas selectos de aprendizaje automático.</t>
  </si>
  <si>
    <t>530-MCC3-G4</t>
  </si>
  <si>
    <t>Estimación Bayesiana</t>
  </si>
  <si>
    <t>531-MME1</t>
  </si>
  <si>
    <t>MME</t>
  </si>
  <si>
    <t>532-MME1</t>
  </si>
  <si>
    <t>Estadística en la Metodología de la Investigación</t>
  </si>
  <si>
    <t>533-MME1</t>
  </si>
  <si>
    <t>Elementos Computacionales en Estadística</t>
  </si>
  <si>
    <t>534-MME3</t>
  </si>
  <si>
    <t>Diseños Experimentales</t>
  </si>
  <si>
    <t>535-MME3</t>
  </si>
  <si>
    <t>Estadística Bayesiana y Teoría de Decisiones</t>
  </si>
  <si>
    <t>Ordinadio</t>
  </si>
  <si>
    <t>19:30 - 21:30</t>
  </si>
  <si>
    <t>Difusión de la Investigación (Xavier Sierra Canto)</t>
  </si>
  <si>
    <t>DCM</t>
  </si>
  <si>
    <t>Carlos/Ricardo</t>
  </si>
  <si>
    <t>Brito Loeza/Legarda Sáenz</t>
  </si>
  <si>
    <t>Difusión de la Investigación (Eduardo Camilo de los Reyes Hernández Mézquita)</t>
  </si>
  <si>
    <t>Argáez</t>
  </si>
  <si>
    <t>Documentación de la Investigación (Carlos Felipe Ávila Cruz)</t>
  </si>
  <si>
    <t>Matías</t>
  </si>
  <si>
    <t>Seminario de Investigación V (Vicente Alfonso Lizama Pool)</t>
  </si>
  <si>
    <t>Seminario de Investigación IV (Lucía Liliane Campa Cardeña)</t>
  </si>
  <si>
    <t>Juan Pablo /Waldemar</t>
  </si>
  <si>
    <t>Navarrete Carrillo / Barrera Vargas</t>
  </si>
  <si>
    <t>Seminario de Investigación III (Luis Gustavo Pérez Reyes)</t>
  </si>
  <si>
    <t xml:space="preserve">Henry Gaspar </t>
  </si>
  <si>
    <t>Seminario de Investigación II (Noé Guadalupe Chan Chí)</t>
  </si>
  <si>
    <t>Seminario de Investigación II ( Roberto Balcazar Araiza)</t>
  </si>
  <si>
    <t>Fundamentos de Ciberseguridad</t>
  </si>
  <si>
    <t>MCS</t>
  </si>
  <si>
    <t>8 (**)</t>
  </si>
  <si>
    <t>EXTERNO - Angel Arturo</t>
  </si>
  <si>
    <t>Pech Che</t>
  </si>
  <si>
    <t>Gestión de Riesgos y Gobernanza</t>
  </si>
  <si>
    <t>Criptografía Aplicada</t>
  </si>
  <si>
    <t xml:space="preserve">EXTERNO -José Alejandro </t>
  </si>
  <si>
    <t>Concha Uicab</t>
  </si>
  <si>
    <t>Seguridad de Sistemas Operativos y Virtualización</t>
  </si>
  <si>
    <t>EXTERNO - Israel Josué</t>
  </si>
  <si>
    <t>Novelo Zel</t>
  </si>
  <si>
    <t>Optativa (primer semestre)</t>
  </si>
  <si>
    <t xml:space="preserve">EXTERNO - </t>
  </si>
  <si>
    <t>Aspectos Legales y Regulatorios</t>
  </si>
  <si>
    <t>Administración de proyectos</t>
  </si>
  <si>
    <t>EXTERNO -María Antonieta</t>
  </si>
  <si>
    <t>Pacheco Pantoja</t>
  </si>
  <si>
    <t>Seguridad en el Ciclo de Vida del Software</t>
  </si>
  <si>
    <t>EXTERNO - Armando</t>
  </si>
  <si>
    <t>López Valadéz</t>
  </si>
  <si>
    <t>Forense Digital</t>
  </si>
  <si>
    <t>EXTERNO - Manuel Jesús</t>
  </si>
  <si>
    <t>Rodríguez Morayta</t>
  </si>
  <si>
    <t>Seminario de Innovación 1</t>
  </si>
  <si>
    <t>Alta Dirección</t>
  </si>
  <si>
    <t>EXTERNO - María Antonieta</t>
  </si>
  <si>
    <t>Economía de la Seguridad</t>
  </si>
  <si>
    <t>EXTERNO - Jesús Francisco</t>
  </si>
  <si>
    <t>Escalante Euán</t>
  </si>
  <si>
    <t>Operaciones de Seguridad y Gestión de Incidentes</t>
  </si>
  <si>
    <t>EXTERNO - Wilberth</t>
  </si>
  <si>
    <t>Pérez</t>
  </si>
  <si>
    <t>Inteligencia Artificial en Ciberseguridad</t>
  </si>
  <si>
    <t xml:space="preserve">Carlos Francisco </t>
  </si>
  <si>
    <t>Seminario de Innovación 2</t>
  </si>
  <si>
    <t>Introducción a la Inteligencia Artificial</t>
  </si>
  <si>
    <t>MIA</t>
  </si>
  <si>
    <t>8 (***)</t>
  </si>
  <si>
    <t>Modelo 2025</t>
  </si>
  <si>
    <t>Victor</t>
  </si>
  <si>
    <t>Programación para Inteligencia Artificial</t>
  </si>
  <si>
    <t>EXTERNO - Oscar Raúl</t>
  </si>
  <si>
    <t>Navarrete Parra</t>
  </si>
  <si>
    <t>Aprendizaje Supervisado</t>
  </si>
  <si>
    <t>Aprendizaje No Supervisado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</si>
</sst>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</font>
    <font>
      <sz val="9"/>
      <color rgb="FF242424"/>
      <name val="Arial"/>
      <family val="2"/>
    </font>
    <font>
      <sz val="9"/>
      <color rgb="FF1F1F1F"/>
      <name val="Arial"/>
      <family val="2"/>
    </font>
    <font>
      <sz val="9"/>
      <color rgb="FF404040"/>
      <name val="Arial"/>
      <family val="2"/>
    </font>
    <font>
      <sz val="9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13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wrapText="1" shrinkToFit="1"/>
    </xf>
    <xf numFmtId="0" fontId="1" fillId="0" borderId="0" xfId="0" applyFont="1" applyAlignment="1">
      <alignment horizontal="center" wrapText="1" shrinkToFit="1"/>
    </xf>
    <xf numFmtId="0" fontId="10" fillId="0" borderId="0" xfId="0" applyFont="1"/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vertical="top" wrapText="1" shrinkToFi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quotePrefix="1" applyFont="1"/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wrapText="1"/>
    </xf>
    <xf numFmtId="49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7" fillId="0" borderId="0" xfId="0" quotePrefix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0" xfId="0" quotePrefix="1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5" fillId="2" borderId="0" xfId="0" applyNumberFormat="1" applyFont="1" applyFill="1"/>
    <xf numFmtId="16" fontId="1" fillId="2" borderId="0" xfId="0" applyNumberFormat="1" applyFont="1" applyFill="1"/>
    <xf numFmtId="16" fontId="1" fillId="0" borderId="0" xfId="0" applyNumberFormat="1" applyFont="1"/>
    <xf numFmtId="0" fontId="1" fillId="2" borderId="0" xfId="0" applyFont="1" applyFill="1"/>
  </cellXfs>
  <cellStyles count="2">
    <cellStyle name="Normal" xfId="0" builtinId="0"/>
    <cellStyle name="Normal 2" xfId="1" xr:uid="{9A6B8536-122F-4C9C-B746-FFD49D9BF51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theme="9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</dxfs>
  <tableStyles count="0" defaultTableStyle="TableStyleMedium2" defaultPivotStyle="PivotStyleLight16"/>
  <colors>
    <mruColors>
      <color rgb="FFC397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17F32-AD04-48B9-8BA8-B87651343202}" name="Tabla1" displayName="Tabla1" ref="A1:AB368" totalsRowShown="0" headerRowDxfId="29" dataDxfId="28">
  <autoFilter ref="A1:AB368" xr:uid="{FB817F32-AD04-48B9-8BA8-B87651343202}"/>
  <tableColumns count="28">
    <tableColumn id="1" xr3:uid="{FADBA8B4-68AC-47BD-83DA-0AE95968FF3F}" name="ID" dataDxfId="27"/>
    <tableColumn id="8" xr3:uid="{015814C9-47BA-42A7-8048-7A486E2C9265}" name="Período" dataDxfId="26"/>
    <tableColumn id="9" xr3:uid="{275D3C69-3C74-4FE9-AC1F-95B8D0D8BD91}" name="Tipo" dataDxfId="25"/>
    <tableColumn id="10" xr3:uid="{DED4337F-53D9-4FE8-A895-7B5CFC084BBA}" name=" Asignatura" dataDxfId="24"/>
    <tableColumn id="11" xr3:uid="{75B32324-350B-4E5B-B631-7F0AF1D7B511}" name="Act" dataDxfId="23"/>
    <tableColumn id="12" xr3:uid="{2772810D-9CC0-4100-8288-98345B2F8EC4}" name="GRUPO" dataDxfId="22"/>
    <tableColumn id="13" xr3:uid="{4DFDA0C8-B54D-4150-A642-7B35F5556714}" name="PE" dataDxfId="21"/>
    <tableColumn id="14" xr3:uid="{355F7D71-A8C5-46E7-81B6-783C938A66BA}" name="Semestre" dataDxfId="20"/>
    <tableColumn id="15" xr3:uid="{8AC6BEAB-3A4A-4071-9873-7CCD723F6288}" name="Horas a la semana" dataDxfId="19"/>
    <tableColumn id="16" xr3:uid="{B5BAA721-C330-47E7-BF2C-736240E91BB3}" name="Modalidad" dataDxfId="18"/>
    <tableColumn id="17" xr3:uid="{108CB7C9-E932-4305-9FF7-8B2A90BA8CD6}" name="Hr.Pres" dataDxfId="17"/>
    <tableColumn id="18" xr3:uid="{860117C2-7040-4276-B241-BD816C98D93F}" name="Hr.Pres2" dataDxfId="16"/>
    <tableColumn id="19" xr3:uid="{848CAFA9-693D-4F2C-92BF-F53E4C2400DF}" name="Hr N/P" dataDxfId="15"/>
    <tableColumn id="20" xr3:uid="{D85B1978-2B9A-48C8-A9C1-9BB845D9CB2F}" name="Créditos" dataDxfId="14"/>
    <tableColumn id="21" xr3:uid="{BDC2FED0-BB52-478F-B684-FBDC58383B7E}" name="Modelo" dataDxfId="13"/>
    <tableColumn id="24" xr3:uid="{1D5F030D-E8CD-4B21-8FA3-424BF0232078}" name="Nombre(s)" dataDxfId="12"/>
    <tableColumn id="25" xr3:uid="{EA260A7A-09B2-4DC7-9099-568B3D20C25F}" name="Apellido(s)" dataDxfId="11"/>
    <tableColumn id="46" xr3:uid="{E268D898-26CB-4F7E-A84C-B46BE35055F2}" name="Lunes" dataDxfId="10"/>
    <tableColumn id="47" xr3:uid="{3A6DDE93-85C6-41F6-92C3-BF8A438F32F0}" name="Aula1" dataDxfId="9"/>
    <tableColumn id="48" xr3:uid="{FF39EF0D-9EFC-4AC9-98B1-8B11D222F2A0}" name="Martes" dataDxfId="8"/>
    <tableColumn id="49" xr3:uid="{98F10F52-F380-4791-8E30-E35AEC3A2BA0}" name="Aula2" dataDxfId="7"/>
    <tableColumn id="50" xr3:uid="{FB2955F4-1070-41D3-B297-C430FC78AB25}" name="Miércoles" dataDxfId="6"/>
    <tableColumn id="51" xr3:uid="{380ECC4A-BF01-4068-83D2-4B3F4F2165D2}" name="Aula3" dataDxfId="5"/>
    <tableColumn id="52" xr3:uid="{05177C60-6F45-4921-84E5-CEC129000666}" name="Jueves" dataDxfId="4"/>
    <tableColumn id="53" xr3:uid="{16A1226C-2EA5-42CB-A05F-2280461B7A9E}" name="Aula4" dataDxfId="3"/>
    <tableColumn id="54" xr3:uid="{5EA22901-72B4-41A2-9C46-EB2E1594C55D}" name="Viernes" dataDxfId="2"/>
    <tableColumn id="55" xr3:uid="{6488DA33-CE5C-4838-96CC-573CC88AE7D5}" name="Aula5" dataDxfId="1"/>
    <tableColumn id="56" xr3:uid="{EC681DD9-1652-4BE4-971E-1750E33BF7AC}" name="Actualiz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9CFC-8461-4287-AF38-7CD7F898260D}">
  <sheetPr>
    <pageSetUpPr fitToPage="1"/>
  </sheetPr>
  <dimension ref="A1:AB369"/>
  <sheetViews>
    <sheetView tabSelected="1" topLeftCell="I1" zoomScale="90" zoomScaleNormal="90" workbookViewId="0">
      <pane ySplit="1" topLeftCell="J2" activePane="bottomLeft" state="frozen"/>
      <selection pane="bottomLeft" activeCell="Z332" sqref="Z332"/>
    </sheetView>
  </sheetViews>
  <sheetFormatPr defaultColWidth="9.140625" defaultRowHeight="12"/>
  <cols>
    <col min="1" max="1" width="26.140625" style="2" customWidth="1"/>
    <col min="2" max="2" width="13.42578125" style="3" customWidth="1"/>
    <col min="3" max="3" width="19.7109375" style="1" customWidth="1"/>
    <col min="4" max="4" width="37.140625" style="7" customWidth="1"/>
    <col min="5" max="5" width="10.140625" style="7" customWidth="1"/>
    <col min="6" max="6" width="9.7109375" style="3" customWidth="1"/>
    <col min="7" max="7" width="23.42578125" style="4" customWidth="1"/>
    <col min="8" max="8" width="13.42578125" style="3" customWidth="1"/>
    <col min="9" max="9" width="13.140625" style="3" customWidth="1"/>
    <col min="10" max="10" width="27.28515625" style="4" customWidth="1"/>
    <col min="11" max="11" width="9.7109375" style="5" customWidth="1"/>
    <col min="12" max="12" width="10.42578125" style="5" customWidth="1"/>
    <col min="13" max="13" width="8.7109375" style="5" customWidth="1"/>
    <col min="14" max="14" width="10.42578125" style="8" customWidth="1"/>
    <col min="15" max="15" width="11.28515625" style="3" customWidth="1"/>
    <col min="16" max="16" width="30.42578125" style="1" customWidth="1"/>
    <col min="17" max="17" width="28.140625" style="1" bestFit="1" customWidth="1"/>
    <col min="18" max="18" width="7.42578125" style="2" customWidth="1"/>
    <col min="19" max="26" width="11.42578125" style="2" customWidth="1"/>
    <col min="27" max="27" width="12.7109375" style="2" customWidth="1"/>
    <col min="28" max="16384" width="9.140625" style="2"/>
  </cols>
  <sheetData>
    <row r="1" spans="1:28" ht="33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33">
      <c r="A2" s="2" t="s">
        <v>28</v>
      </c>
      <c r="B2" s="3" t="s">
        <v>29</v>
      </c>
      <c r="C2" s="1" t="s">
        <v>30</v>
      </c>
      <c r="D2" s="9" t="s">
        <v>31</v>
      </c>
      <c r="E2" s="10">
        <v>18</v>
      </c>
      <c r="G2" s="4" t="s">
        <v>32</v>
      </c>
      <c r="H2" s="4" t="s">
        <v>33</v>
      </c>
      <c r="I2" s="2">
        <v>4</v>
      </c>
      <c r="J2" s="4" t="s">
        <v>34</v>
      </c>
      <c r="K2" s="5">
        <v>64</v>
      </c>
      <c r="L2" s="5">
        <v>64</v>
      </c>
      <c r="M2" s="5">
        <v>64</v>
      </c>
      <c r="N2" s="8">
        <v>8</v>
      </c>
      <c r="O2" s="3" t="s">
        <v>35</v>
      </c>
      <c r="P2" s="1" t="s">
        <v>36</v>
      </c>
      <c r="Q2" s="1" t="s">
        <v>37</v>
      </c>
      <c r="R2" s="63" t="s">
        <v>38</v>
      </c>
      <c r="S2" s="64" t="s">
        <v>39</v>
      </c>
      <c r="Z2" s="63" t="s">
        <v>38</v>
      </c>
      <c r="AA2" s="64" t="s">
        <v>40</v>
      </c>
    </row>
    <row r="3" spans="1:28" ht="13.5">
      <c r="A3" s="2" t="s">
        <v>41</v>
      </c>
      <c r="B3" s="4" t="s">
        <v>29</v>
      </c>
      <c r="C3" s="6" t="s">
        <v>42</v>
      </c>
      <c r="D3" s="7" t="s">
        <v>43</v>
      </c>
      <c r="E3" s="10">
        <v>19</v>
      </c>
      <c r="F3" s="3">
        <v>1</v>
      </c>
      <c r="G3" s="4" t="s">
        <v>44</v>
      </c>
      <c r="H3" s="3">
        <v>9</v>
      </c>
      <c r="I3" s="2">
        <v>4</v>
      </c>
      <c r="J3" s="3" t="s">
        <v>34</v>
      </c>
      <c r="K3" s="5">
        <v>64</v>
      </c>
      <c r="L3" s="5">
        <v>64</v>
      </c>
      <c r="M3" s="5">
        <v>32</v>
      </c>
      <c r="N3" s="3">
        <v>6</v>
      </c>
      <c r="O3" s="3" t="s">
        <v>35</v>
      </c>
      <c r="P3" s="1" t="s">
        <v>45</v>
      </c>
      <c r="Q3" s="2" t="s">
        <v>46</v>
      </c>
      <c r="T3" s="63" t="s">
        <v>47</v>
      </c>
      <c r="U3" s="64" t="s">
        <v>48</v>
      </c>
      <c r="X3" s="63" t="s">
        <v>49</v>
      </c>
      <c r="Y3" s="64" t="s">
        <v>50</v>
      </c>
    </row>
    <row r="4" spans="1:28" ht="13.5">
      <c r="A4" s="2" t="s">
        <v>51</v>
      </c>
      <c r="B4" s="4" t="s">
        <v>29</v>
      </c>
      <c r="C4" s="6" t="s">
        <v>42</v>
      </c>
      <c r="D4" s="7" t="s">
        <v>43</v>
      </c>
      <c r="E4" s="10">
        <v>19</v>
      </c>
      <c r="F4" s="3">
        <v>2</v>
      </c>
      <c r="G4" s="4" t="s">
        <v>44</v>
      </c>
      <c r="H4" s="3">
        <v>9</v>
      </c>
      <c r="I4" s="2">
        <v>4</v>
      </c>
      <c r="J4" s="3" t="s">
        <v>34</v>
      </c>
      <c r="K4" s="5">
        <v>64</v>
      </c>
      <c r="L4" s="5">
        <v>64</v>
      </c>
      <c r="M4" s="5">
        <v>32</v>
      </c>
      <c r="N4" s="3">
        <f>(K4+M4)/16</f>
        <v>6</v>
      </c>
      <c r="O4" s="3" t="s">
        <v>35</v>
      </c>
      <c r="P4" s="11" t="s">
        <v>52</v>
      </c>
      <c r="Q4" s="1" t="s">
        <v>53</v>
      </c>
      <c r="V4" s="63" t="s">
        <v>54</v>
      </c>
      <c r="W4" s="64" t="s">
        <v>39</v>
      </c>
      <c r="Z4" s="63" t="s">
        <v>55</v>
      </c>
      <c r="AA4" s="64" t="s">
        <v>56</v>
      </c>
    </row>
    <row r="5" spans="1:28" ht="13.5">
      <c r="A5" s="2" t="s">
        <v>57</v>
      </c>
      <c r="B5" s="13" t="s">
        <v>29</v>
      </c>
      <c r="C5" s="14" t="s">
        <v>42</v>
      </c>
      <c r="D5" s="15" t="s">
        <v>58</v>
      </c>
      <c r="E5" s="16">
        <v>21</v>
      </c>
      <c r="F5" s="17"/>
      <c r="G5" s="13" t="s">
        <v>59</v>
      </c>
      <c r="H5" s="17">
        <v>9</v>
      </c>
      <c r="I5" s="18">
        <v>4</v>
      </c>
      <c r="J5" s="17" t="s">
        <v>34</v>
      </c>
      <c r="K5" s="19">
        <v>64</v>
      </c>
      <c r="L5" s="19">
        <v>64</v>
      </c>
      <c r="M5" s="19">
        <v>32</v>
      </c>
      <c r="N5" s="17">
        <f>(K5+M5)/16</f>
        <v>6</v>
      </c>
      <c r="O5" s="17" t="s">
        <v>35</v>
      </c>
      <c r="P5" s="12" t="s">
        <v>60</v>
      </c>
      <c r="Q5" s="12" t="s">
        <v>61</v>
      </c>
      <c r="R5" s="12"/>
      <c r="S5" s="12"/>
      <c r="T5" s="63" t="s">
        <v>38</v>
      </c>
      <c r="U5" s="64" t="s">
        <v>62</v>
      </c>
      <c r="V5" s="12"/>
      <c r="W5" s="12"/>
      <c r="X5" s="63" t="s">
        <v>63</v>
      </c>
      <c r="Y5" s="64" t="s">
        <v>64</v>
      </c>
      <c r="Z5" s="12"/>
      <c r="AA5" s="12"/>
    </row>
    <row r="6" spans="1:28" ht="13.5">
      <c r="A6" s="2" t="s">
        <v>65</v>
      </c>
      <c r="B6" s="4" t="s">
        <v>29</v>
      </c>
      <c r="C6" s="6" t="s">
        <v>42</v>
      </c>
      <c r="D6" s="20" t="s">
        <v>66</v>
      </c>
      <c r="E6" s="10">
        <v>22</v>
      </c>
      <c r="G6" s="4" t="s">
        <v>67</v>
      </c>
      <c r="H6" s="3">
        <v>5</v>
      </c>
      <c r="I6" s="2">
        <v>4.5</v>
      </c>
      <c r="J6" s="3" t="s">
        <v>34</v>
      </c>
      <c r="K6" s="5">
        <v>72</v>
      </c>
      <c r="L6" s="5">
        <v>72</v>
      </c>
      <c r="M6" s="5">
        <v>56</v>
      </c>
      <c r="N6" s="3">
        <v>8</v>
      </c>
      <c r="O6" s="21" t="s">
        <v>68</v>
      </c>
      <c r="P6" s="1" t="s">
        <v>69</v>
      </c>
      <c r="Q6" s="1" t="s">
        <v>70</v>
      </c>
      <c r="R6" s="63" t="s">
        <v>71</v>
      </c>
      <c r="S6" s="64" t="s">
        <v>40</v>
      </c>
      <c r="T6" s="63" t="s">
        <v>72</v>
      </c>
      <c r="U6" s="64" t="s">
        <v>73</v>
      </c>
      <c r="V6" s="63" t="s">
        <v>74</v>
      </c>
      <c r="W6" s="64" t="s">
        <v>64</v>
      </c>
    </row>
    <row r="7" spans="1:28" ht="13.5">
      <c r="A7" s="2" t="s">
        <v>75</v>
      </c>
      <c r="B7" s="4" t="s">
        <v>29</v>
      </c>
      <c r="C7" s="6" t="s">
        <v>42</v>
      </c>
      <c r="D7" s="20" t="s">
        <v>76</v>
      </c>
      <c r="E7" s="10">
        <v>23</v>
      </c>
      <c r="G7" s="4" t="s">
        <v>77</v>
      </c>
      <c r="H7" s="3">
        <v>7</v>
      </c>
      <c r="I7" s="2">
        <v>4.5</v>
      </c>
      <c r="J7" s="3" t="s">
        <v>78</v>
      </c>
      <c r="K7" s="5">
        <v>67.5</v>
      </c>
      <c r="L7" s="5">
        <v>67.5</v>
      </c>
      <c r="N7" s="3">
        <v>9</v>
      </c>
      <c r="O7" s="21" t="s">
        <v>79</v>
      </c>
      <c r="P7" s="1" t="s">
        <v>80</v>
      </c>
      <c r="Q7" s="22" t="s">
        <v>81</v>
      </c>
      <c r="R7" s="63" t="s">
        <v>71</v>
      </c>
      <c r="S7" s="64" t="s">
        <v>50</v>
      </c>
      <c r="V7" s="63" t="s">
        <v>71</v>
      </c>
      <c r="W7" s="64" t="s">
        <v>50</v>
      </c>
      <c r="X7" s="63" t="s">
        <v>82</v>
      </c>
      <c r="Y7" s="64" t="s">
        <v>83</v>
      </c>
    </row>
    <row r="8" spans="1:28" ht="13.5">
      <c r="A8" s="2" t="s">
        <v>84</v>
      </c>
      <c r="B8" s="4" t="s">
        <v>29</v>
      </c>
      <c r="C8" s="1" t="s">
        <v>42</v>
      </c>
      <c r="D8" s="7" t="s">
        <v>85</v>
      </c>
      <c r="E8" s="10">
        <v>24</v>
      </c>
      <c r="G8" s="4" t="s">
        <v>59</v>
      </c>
      <c r="H8" s="3">
        <v>2</v>
      </c>
      <c r="I8" s="2">
        <v>2.5</v>
      </c>
      <c r="J8" s="3" t="s">
        <v>86</v>
      </c>
      <c r="K8" s="5">
        <f>L8/2</f>
        <v>36</v>
      </c>
      <c r="L8" s="5">
        <v>72</v>
      </c>
      <c r="M8" s="5">
        <v>56</v>
      </c>
      <c r="N8" s="3">
        <f>(L8+M8)/16</f>
        <v>8</v>
      </c>
      <c r="O8" s="3" t="s">
        <v>35</v>
      </c>
      <c r="P8" s="1" t="s">
        <v>87</v>
      </c>
      <c r="Q8" s="1" t="s">
        <v>88</v>
      </c>
      <c r="R8" s="63" t="s">
        <v>89</v>
      </c>
      <c r="S8" s="64" t="s">
        <v>73</v>
      </c>
    </row>
    <row r="9" spans="1:28" ht="13.5">
      <c r="A9" s="2" t="s">
        <v>90</v>
      </c>
      <c r="B9" s="4" t="s">
        <v>29</v>
      </c>
      <c r="C9" s="6" t="s">
        <v>42</v>
      </c>
      <c r="D9" s="20" t="s">
        <v>91</v>
      </c>
      <c r="E9" s="10">
        <v>25</v>
      </c>
      <c r="F9" s="3">
        <v>5</v>
      </c>
      <c r="G9" s="4" t="s">
        <v>92</v>
      </c>
      <c r="H9" s="3">
        <v>1</v>
      </c>
      <c r="I9" s="2">
        <v>4</v>
      </c>
      <c r="J9" s="3" t="s">
        <v>93</v>
      </c>
      <c r="K9" s="5">
        <v>64</v>
      </c>
      <c r="L9" s="5">
        <v>64</v>
      </c>
      <c r="M9" s="5">
        <v>64</v>
      </c>
      <c r="N9" s="3">
        <f t="shared" ref="N9:N17" si="0">(K9+M9)/16</f>
        <v>8</v>
      </c>
      <c r="O9" s="21" t="s">
        <v>35</v>
      </c>
      <c r="P9" s="1" t="s">
        <v>94</v>
      </c>
      <c r="Q9" s="1" t="s">
        <v>95</v>
      </c>
      <c r="T9" s="63" t="s">
        <v>49</v>
      </c>
      <c r="U9" s="64" t="s">
        <v>64</v>
      </c>
      <c r="V9" s="63" t="s">
        <v>96</v>
      </c>
      <c r="W9" s="64" t="s">
        <v>97</v>
      </c>
      <c r="AB9" s="71"/>
    </row>
    <row r="10" spans="1:28" ht="13.5">
      <c r="A10" s="2" t="s">
        <v>98</v>
      </c>
      <c r="B10" s="4" t="s">
        <v>29</v>
      </c>
      <c r="C10" s="6" t="s">
        <v>42</v>
      </c>
      <c r="D10" s="20" t="s">
        <v>91</v>
      </c>
      <c r="E10" s="10">
        <v>25</v>
      </c>
      <c r="F10" s="3">
        <v>1</v>
      </c>
      <c r="G10" s="4" t="s">
        <v>99</v>
      </c>
      <c r="H10" s="3">
        <v>1</v>
      </c>
      <c r="I10" s="2">
        <v>4</v>
      </c>
      <c r="J10" s="3" t="s">
        <v>93</v>
      </c>
      <c r="K10" s="5">
        <v>64</v>
      </c>
      <c r="L10" s="5">
        <v>64</v>
      </c>
      <c r="M10" s="5">
        <v>64</v>
      </c>
      <c r="N10" s="3">
        <f t="shared" si="0"/>
        <v>8</v>
      </c>
      <c r="O10" s="21" t="s">
        <v>35</v>
      </c>
      <c r="P10" s="2" t="s">
        <v>100</v>
      </c>
      <c r="Q10" s="1" t="s">
        <v>101</v>
      </c>
      <c r="T10" s="63" t="s">
        <v>102</v>
      </c>
      <c r="U10" s="64" t="s">
        <v>40</v>
      </c>
      <c r="Z10" s="63" t="s">
        <v>103</v>
      </c>
      <c r="AA10" s="64" t="s">
        <v>83</v>
      </c>
      <c r="AB10" s="73"/>
    </row>
    <row r="11" spans="1:28" ht="13.5">
      <c r="A11" s="2" t="s">
        <v>104</v>
      </c>
      <c r="B11" s="4" t="s">
        <v>29</v>
      </c>
      <c r="C11" s="6" t="s">
        <v>42</v>
      </c>
      <c r="D11" s="20" t="s">
        <v>105</v>
      </c>
      <c r="E11" s="10">
        <v>27</v>
      </c>
      <c r="F11" s="3">
        <v>1</v>
      </c>
      <c r="G11" s="4" t="s">
        <v>106</v>
      </c>
      <c r="H11" s="24">
        <v>3</v>
      </c>
      <c r="I11" s="2">
        <v>4.5</v>
      </c>
      <c r="J11" s="3" t="s">
        <v>93</v>
      </c>
      <c r="K11" s="5">
        <v>72</v>
      </c>
      <c r="L11" s="5">
        <v>72</v>
      </c>
      <c r="M11" s="5">
        <v>72</v>
      </c>
      <c r="N11" s="3">
        <f t="shared" si="0"/>
        <v>9</v>
      </c>
      <c r="O11" s="21" t="s">
        <v>35</v>
      </c>
      <c r="P11" s="1" t="s">
        <v>107</v>
      </c>
      <c r="Q11" s="1" t="s">
        <v>108</v>
      </c>
      <c r="R11" s="63" t="s">
        <v>109</v>
      </c>
      <c r="S11" s="64" t="s">
        <v>110</v>
      </c>
      <c r="V11" s="63" t="s">
        <v>109</v>
      </c>
      <c r="W11" s="64" t="s">
        <v>83</v>
      </c>
      <c r="Z11" s="63" t="s">
        <v>109</v>
      </c>
      <c r="AA11" s="64" t="s">
        <v>111</v>
      </c>
    </row>
    <row r="12" spans="1:28" ht="13.5">
      <c r="A12" s="2" t="s">
        <v>112</v>
      </c>
      <c r="B12" s="4" t="s">
        <v>29</v>
      </c>
      <c r="C12" s="6" t="s">
        <v>42</v>
      </c>
      <c r="D12" s="20" t="s">
        <v>105</v>
      </c>
      <c r="E12" s="10">
        <v>27</v>
      </c>
      <c r="F12" s="3">
        <v>2</v>
      </c>
      <c r="G12" s="4" t="s">
        <v>106</v>
      </c>
      <c r="H12" s="24">
        <v>3</v>
      </c>
      <c r="I12" s="2">
        <v>4.5</v>
      </c>
      <c r="J12" s="3" t="s">
        <v>93</v>
      </c>
      <c r="K12" s="5">
        <v>72</v>
      </c>
      <c r="L12" s="5">
        <v>72</v>
      </c>
      <c r="M12" s="5">
        <v>72</v>
      </c>
      <c r="N12" s="3">
        <f t="shared" si="0"/>
        <v>9</v>
      </c>
      <c r="O12" s="21" t="s">
        <v>35</v>
      </c>
      <c r="P12" s="1" t="s">
        <v>113</v>
      </c>
      <c r="Q12" s="1" t="s">
        <v>114</v>
      </c>
      <c r="R12" s="63" t="s">
        <v>109</v>
      </c>
      <c r="S12" s="64" t="s">
        <v>111</v>
      </c>
      <c r="V12" s="63" t="s">
        <v>109</v>
      </c>
      <c r="W12" s="64" t="s">
        <v>111</v>
      </c>
      <c r="Z12" s="63" t="s">
        <v>109</v>
      </c>
      <c r="AA12" s="64" t="s">
        <v>48</v>
      </c>
    </row>
    <row r="13" spans="1:28" ht="13.5">
      <c r="A13" s="2" t="s">
        <v>115</v>
      </c>
      <c r="B13" s="4" t="s">
        <v>29</v>
      </c>
      <c r="C13" s="6" t="s">
        <v>42</v>
      </c>
      <c r="D13" s="20" t="s">
        <v>105</v>
      </c>
      <c r="E13" s="10">
        <v>27</v>
      </c>
      <c r="F13" s="3">
        <v>3</v>
      </c>
      <c r="G13" s="4" t="s">
        <v>106</v>
      </c>
      <c r="H13" s="24">
        <v>3</v>
      </c>
      <c r="I13" s="2">
        <v>4.5</v>
      </c>
      <c r="J13" s="3" t="s">
        <v>93</v>
      </c>
      <c r="K13" s="5">
        <v>72</v>
      </c>
      <c r="L13" s="5">
        <v>72</v>
      </c>
      <c r="M13" s="5">
        <v>72</v>
      </c>
      <c r="N13" s="3">
        <f t="shared" si="0"/>
        <v>9</v>
      </c>
      <c r="O13" s="21" t="s">
        <v>35</v>
      </c>
      <c r="P13" s="1" t="s">
        <v>116</v>
      </c>
      <c r="Q13" s="1" t="s">
        <v>117</v>
      </c>
      <c r="R13" s="63" t="s">
        <v>109</v>
      </c>
      <c r="S13" s="64" t="s">
        <v>48</v>
      </c>
      <c r="V13" s="63" t="s">
        <v>109</v>
      </c>
      <c r="W13" s="64" t="s">
        <v>118</v>
      </c>
      <c r="Z13" s="63" t="s">
        <v>109</v>
      </c>
      <c r="AA13" s="64" t="s">
        <v>83</v>
      </c>
    </row>
    <row r="14" spans="1:28" ht="13.5">
      <c r="A14" s="2" t="s">
        <v>119</v>
      </c>
      <c r="B14" s="4" t="s">
        <v>29</v>
      </c>
      <c r="C14" s="6" t="s">
        <v>42</v>
      </c>
      <c r="D14" s="7" t="s">
        <v>105</v>
      </c>
      <c r="E14" s="10">
        <v>30</v>
      </c>
      <c r="F14" s="3">
        <v>1</v>
      </c>
      <c r="G14" s="4" t="s">
        <v>120</v>
      </c>
      <c r="H14" s="24">
        <v>3</v>
      </c>
      <c r="I14" s="2">
        <v>4.5</v>
      </c>
      <c r="J14" s="3" t="s">
        <v>34</v>
      </c>
      <c r="K14" s="5">
        <v>72</v>
      </c>
      <c r="L14" s="5">
        <v>72</v>
      </c>
      <c r="M14" s="5">
        <v>56</v>
      </c>
      <c r="N14" s="3">
        <f t="shared" si="0"/>
        <v>8</v>
      </c>
      <c r="O14" s="21" t="s">
        <v>35</v>
      </c>
      <c r="P14" s="1" t="s">
        <v>107</v>
      </c>
      <c r="Q14" s="1" t="s">
        <v>108</v>
      </c>
      <c r="R14" s="63" t="s">
        <v>121</v>
      </c>
      <c r="S14" s="64" t="s">
        <v>122</v>
      </c>
      <c r="V14" s="63" t="s">
        <v>123</v>
      </c>
      <c r="W14" s="64" t="s">
        <v>56</v>
      </c>
      <c r="Z14" s="63" t="s">
        <v>124</v>
      </c>
      <c r="AA14" s="64" t="s">
        <v>73</v>
      </c>
    </row>
    <row r="15" spans="1:28" ht="13.5">
      <c r="A15" s="2" t="s">
        <v>125</v>
      </c>
      <c r="B15" s="4" t="s">
        <v>29</v>
      </c>
      <c r="C15" s="6" t="s">
        <v>42</v>
      </c>
      <c r="D15" s="7" t="s">
        <v>105</v>
      </c>
      <c r="E15" s="10">
        <v>30</v>
      </c>
      <c r="F15" s="3">
        <v>2</v>
      </c>
      <c r="G15" s="4" t="s">
        <v>120</v>
      </c>
      <c r="H15" s="24">
        <v>3</v>
      </c>
      <c r="I15" s="2">
        <v>4.5</v>
      </c>
      <c r="J15" s="3" t="s">
        <v>34</v>
      </c>
      <c r="K15" s="5">
        <v>72</v>
      </c>
      <c r="L15" s="5">
        <v>72</v>
      </c>
      <c r="M15" s="5">
        <v>56</v>
      </c>
      <c r="N15" s="3">
        <f t="shared" si="0"/>
        <v>8</v>
      </c>
      <c r="O15" s="21" t="s">
        <v>35</v>
      </c>
      <c r="P15" s="2" t="s">
        <v>69</v>
      </c>
      <c r="Q15" s="2" t="s">
        <v>70</v>
      </c>
      <c r="R15" s="63" t="s">
        <v>121</v>
      </c>
      <c r="S15" s="64" t="s">
        <v>110</v>
      </c>
      <c r="V15" s="63" t="s">
        <v>123</v>
      </c>
      <c r="W15" s="64" t="s">
        <v>118</v>
      </c>
      <c r="Z15" s="63" t="s">
        <v>124</v>
      </c>
      <c r="AA15" s="64" t="s">
        <v>83</v>
      </c>
    </row>
    <row r="16" spans="1:28" ht="13.5">
      <c r="A16" s="2" t="s">
        <v>126</v>
      </c>
      <c r="B16" s="4" t="s">
        <v>29</v>
      </c>
      <c r="C16" s="6" t="s">
        <v>42</v>
      </c>
      <c r="D16" s="7" t="s">
        <v>105</v>
      </c>
      <c r="E16" s="10">
        <v>30</v>
      </c>
      <c r="F16" s="3">
        <v>3</v>
      </c>
      <c r="G16" s="4" t="s">
        <v>120</v>
      </c>
      <c r="H16" s="24">
        <v>3</v>
      </c>
      <c r="I16" s="2">
        <v>4.5</v>
      </c>
      <c r="J16" s="3" t="s">
        <v>34</v>
      </c>
      <c r="K16" s="5">
        <v>72</v>
      </c>
      <c r="L16" s="5">
        <v>72</v>
      </c>
      <c r="M16" s="5">
        <v>56</v>
      </c>
      <c r="N16" s="3">
        <f t="shared" si="0"/>
        <v>8</v>
      </c>
      <c r="O16" s="21" t="s">
        <v>35</v>
      </c>
      <c r="P16" s="1" t="s">
        <v>127</v>
      </c>
      <c r="Q16" s="1" t="s">
        <v>128</v>
      </c>
      <c r="R16" s="63" t="s">
        <v>121</v>
      </c>
      <c r="S16" s="64" t="s">
        <v>56</v>
      </c>
      <c r="V16" s="63" t="s">
        <v>123</v>
      </c>
      <c r="W16" s="64" t="s">
        <v>64</v>
      </c>
      <c r="Z16" s="63" t="s">
        <v>124</v>
      </c>
      <c r="AA16" s="64" t="s">
        <v>110</v>
      </c>
    </row>
    <row r="17" spans="1:28" ht="13.5">
      <c r="A17" s="2" t="s">
        <v>129</v>
      </c>
      <c r="B17" s="4" t="s">
        <v>29</v>
      </c>
      <c r="C17" s="6" t="s">
        <v>42</v>
      </c>
      <c r="D17" s="7" t="s">
        <v>105</v>
      </c>
      <c r="E17" s="10">
        <v>30</v>
      </c>
      <c r="F17" s="3">
        <v>4</v>
      </c>
      <c r="G17" s="4" t="s">
        <v>120</v>
      </c>
      <c r="H17" s="24">
        <v>3</v>
      </c>
      <c r="I17" s="2">
        <v>4.5</v>
      </c>
      <c r="J17" s="3" t="s">
        <v>34</v>
      </c>
      <c r="K17" s="5">
        <v>72</v>
      </c>
      <c r="L17" s="5">
        <v>72</v>
      </c>
      <c r="M17" s="5">
        <v>56</v>
      </c>
      <c r="N17" s="3">
        <f t="shared" si="0"/>
        <v>8</v>
      </c>
      <c r="O17" s="21" t="s">
        <v>35</v>
      </c>
      <c r="P17" s="1" t="s">
        <v>130</v>
      </c>
      <c r="Q17" s="1" t="s">
        <v>131</v>
      </c>
      <c r="R17" s="63" t="s">
        <v>103</v>
      </c>
      <c r="S17" s="64" t="s">
        <v>73</v>
      </c>
      <c r="T17" s="2" t="s">
        <v>96</v>
      </c>
      <c r="U17" s="2" t="s">
        <v>73</v>
      </c>
      <c r="V17" s="63"/>
      <c r="W17" s="64"/>
      <c r="Z17" s="63"/>
      <c r="AA17" s="64"/>
    </row>
    <row r="18" spans="1:28" ht="13.5">
      <c r="A18" s="2" t="s">
        <v>132</v>
      </c>
      <c r="B18" s="4" t="s">
        <v>29</v>
      </c>
      <c r="C18" s="1" t="s">
        <v>42</v>
      </c>
      <c r="D18" s="7" t="s">
        <v>105</v>
      </c>
      <c r="E18" s="10">
        <v>34</v>
      </c>
      <c r="G18" s="4" t="s">
        <v>133</v>
      </c>
      <c r="H18" s="3">
        <v>2</v>
      </c>
      <c r="I18" s="2">
        <v>2.5</v>
      </c>
      <c r="J18" s="3" t="s">
        <v>86</v>
      </c>
      <c r="K18" s="5">
        <f>L18/2</f>
        <v>36</v>
      </c>
      <c r="L18" s="5">
        <f>4.5*16</f>
        <v>72</v>
      </c>
      <c r="M18" s="5">
        <v>56</v>
      </c>
      <c r="N18" s="3">
        <f>(L18+M18)/16</f>
        <v>8</v>
      </c>
      <c r="O18" s="3" t="s">
        <v>35</v>
      </c>
      <c r="P18" s="2" t="s">
        <v>107</v>
      </c>
      <c r="Q18" s="2" t="s">
        <v>108</v>
      </c>
      <c r="V18" s="63" t="s">
        <v>134</v>
      </c>
      <c r="W18" s="64" t="s">
        <v>83</v>
      </c>
    </row>
    <row r="19" spans="1:28" ht="13.5">
      <c r="A19" s="2" t="s">
        <v>135</v>
      </c>
      <c r="B19" s="4" t="s">
        <v>29</v>
      </c>
      <c r="C19" s="6" t="s">
        <v>42</v>
      </c>
      <c r="D19" s="20" t="s">
        <v>136</v>
      </c>
      <c r="E19" s="10">
        <v>35</v>
      </c>
      <c r="G19" s="4" t="s">
        <v>137</v>
      </c>
      <c r="H19" s="24">
        <v>3</v>
      </c>
      <c r="I19" s="2">
        <v>4</v>
      </c>
      <c r="J19" s="3" t="s">
        <v>34</v>
      </c>
      <c r="K19" s="5">
        <v>64</v>
      </c>
      <c r="L19" s="5">
        <v>64</v>
      </c>
      <c r="M19" s="5">
        <v>64</v>
      </c>
      <c r="N19" s="3">
        <f>(K19+M19)/16</f>
        <v>8</v>
      </c>
      <c r="O19" s="21" t="s">
        <v>35</v>
      </c>
      <c r="P19" s="1" t="s">
        <v>138</v>
      </c>
      <c r="Q19" s="1" t="s">
        <v>139</v>
      </c>
      <c r="R19" s="63" t="s">
        <v>140</v>
      </c>
      <c r="S19" s="64" t="s">
        <v>40</v>
      </c>
      <c r="Z19" s="63" t="s">
        <v>141</v>
      </c>
      <c r="AA19" s="64" t="s">
        <v>40</v>
      </c>
    </row>
    <row r="20" spans="1:28" ht="22.5">
      <c r="A20" s="2" t="s">
        <v>142</v>
      </c>
      <c r="B20" s="4" t="s">
        <v>29</v>
      </c>
      <c r="C20" s="6" t="s">
        <v>42</v>
      </c>
      <c r="D20" s="20" t="s">
        <v>143</v>
      </c>
      <c r="E20" s="10">
        <v>36</v>
      </c>
      <c r="G20" s="4" t="s">
        <v>144</v>
      </c>
      <c r="H20" s="3" t="s">
        <v>145</v>
      </c>
      <c r="I20" s="2">
        <v>4.5</v>
      </c>
      <c r="J20" s="3" t="s">
        <v>146</v>
      </c>
      <c r="K20" s="5">
        <v>72</v>
      </c>
      <c r="L20" s="5">
        <v>72</v>
      </c>
      <c r="M20" s="5">
        <v>56</v>
      </c>
      <c r="N20" s="3">
        <v>8</v>
      </c>
      <c r="O20" s="21" t="s">
        <v>147</v>
      </c>
      <c r="P20" s="1" t="s">
        <v>107</v>
      </c>
      <c r="Q20" s="1" t="s">
        <v>108</v>
      </c>
      <c r="T20" s="63" t="s">
        <v>148</v>
      </c>
      <c r="U20" s="64" t="s">
        <v>149</v>
      </c>
      <c r="X20" s="63" t="s">
        <v>148</v>
      </c>
      <c r="Y20" s="64" t="s">
        <v>110</v>
      </c>
      <c r="Z20" s="63" t="s">
        <v>148</v>
      </c>
      <c r="AA20" s="64" t="s">
        <v>40</v>
      </c>
    </row>
    <row r="21" spans="1:28" ht="13.5">
      <c r="A21" s="2" t="s">
        <v>150</v>
      </c>
      <c r="B21" s="4" t="s">
        <v>29</v>
      </c>
      <c r="C21" s="6" t="s">
        <v>42</v>
      </c>
      <c r="D21" s="20" t="s">
        <v>151</v>
      </c>
      <c r="E21" s="10">
        <v>37</v>
      </c>
      <c r="G21" s="4" t="s">
        <v>77</v>
      </c>
      <c r="H21" s="3">
        <v>5</v>
      </c>
      <c r="I21" s="2">
        <v>4.5</v>
      </c>
      <c r="J21" s="3" t="s">
        <v>78</v>
      </c>
      <c r="K21" s="5">
        <v>67.5</v>
      </c>
      <c r="L21" s="5">
        <v>67.5</v>
      </c>
      <c r="N21" s="3">
        <v>9</v>
      </c>
      <c r="O21" s="21" t="s">
        <v>79</v>
      </c>
      <c r="P21" s="1" t="s">
        <v>80</v>
      </c>
      <c r="Q21" s="22" t="s">
        <v>81</v>
      </c>
      <c r="T21" s="63" t="s">
        <v>71</v>
      </c>
      <c r="U21" s="64" t="s">
        <v>56</v>
      </c>
      <c r="V21" s="63" t="s">
        <v>152</v>
      </c>
      <c r="W21" s="64" t="s">
        <v>153</v>
      </c>
      <c r="Z21" s="63" t="s">
        <v>154</v>
      </c>
      <c r="AA21" s="64" t="s">
        <v>73</v>
      </c>
    </row>
    <row r="22" spans="1:28" ht="13.5">
      <c r="A22" s="2" t="s">
        <v>155</v>
      </c>
      <c r="B22" s="4" t="s">
        <v>29</v>
      </c>
      <c r="C22" s="6" t="s">
        <v>42</v>
      </c>
      <c r="D22" s="7" t="s">
        <v>156</v>
      </c>
      <c r="E22" s="10">
        <v>38</v>
      </c>
      <c r="G22" s="4" t="s">
        <v>59</v>
      </c>
      <c r="H22" s="3">
        <v>1</v>
      </c>
      <c r="I22" s="2">
        <v>4.5</v>
      </c>
      <c r="J22" s="3" t="s">
        <v>93</v>
      </c>
      <c r="K22" s="5">
        <v>72</v>
      </c>
      <c r="L22" s="5">
        <v>72</v>
      </c>
      <c r="M22" s="5">
        <v>56</v>
      </c>
      <c r="N22" s="3">
        <f>(K22+M22)/16</f>
        <v>8</v>
      </c>
      <c r="O22" s="3" t="s">
        <v>35</v>
      </c>
      <c r="P22" s="1" t="s">
        <v>157</v>
      </c>
      <c r="Q22" s="1" t="s">
        <v>158</v>
      </c>
      <c r="R22" s="63" t="s">
        <v>159</v>
      </c>
      <c r="S22" s="64" t="s">
        <v>160</v>
      </c>
      <c r="T22" s="63" t="s">
        <v>161</v>
      </c>
      <c r="U22" s="64" t="s">
        <v>162</v>
      </c>
      <c r="X22" s="63" t="s">
        <v>159</v>
      </c>
      <c r="Y22" s="64" t="s">
        <v>160</v>
      </c>
    </row>
    <row r="23" spans="1:28" ht="13.5">
      <c r="A23" s="2" t="s">
        <v>163</v>
      </c>
      <c r="B23" s="4" t="s">
        <v>29</v>
      </c>
      <c r="C23" s="1" t="s">
        <v>42</v>
      </c>
      <c r="D23" s="7" t="s">
        <v>156</v>
      </c>
      <c r="E23" s="10">
        <v>39</v>
      </c>
      <c r="F23" s="4"/>
      <c r="G23" s="4" t="s">
        <v>137</v>
      </c>
      <c r="H23" s="3">
        <v>2</v>
      </c>
      <c r="I23" s="7">
        <v>2</v>
      </c>
      <c r="J23" s="3" t="s">
        <v>93</v>
      </c>
      <c r="K23" s="5">
        <f>L23/2</f>
        <v>32</v>
      </c>
      <c r="L23" s="5">
        <f>4*16</f>
        <v>64</v>
      </c>
      <c r="M23" s="5">
        <v>64</v>
      </c>
      <c r="N23" s="3">
        <f>(L23+M23)/16</f>
        <v>8</v>
      </c>
      <c r="O23" s="3" t="s">
        <v>35</v>
      </c>
      <c r="P23" s="2" t="s">
        <v>69</v>
      </c>
      <c r="Q23" s="2" t="s">
        <v>70</v>
      </c>
      <c r="R23" s="2" t="s">
        <v>38</v>
      </c>
      <c r="S23" s="2" t="s">
        <v>40</v>
      </c>
      <c r="Z23" s="63" t="s">
        <v>164</v>
      </c>
      <c r="AA23" s="64" t="s">
        <v>165</v>
      </c>
      <c r="AB23" s="71"/>
    </row>
    <row r="24" spans="1:28" ht="13.5">
      <c r="A24" s="2" t="s">
        <v>166</v>
      </c>
      <c r="B24" s="4" t="s">
        <v>29</v>
      </c>
      <c r="C24" s="1" t="s">
        <v>42</v>
      </c>
      <c r="D24" s="7" t="s">
        <v>156</v>
      </c>
      <c r="E24" s="10">
        <v>40</v>
      </c>
      <c r="G24" s="4" t="s">
        <v>44</v>
      </c>
      <c r="H24" s="3">
        <v>2</v>
      </c>
      <c r="I24" s="2">
        <v>2.5</v>
      </c>
      <c r="J24" s="3" t="s">
        <v>86</v>
      </c>
      <c r="K24" s="5">
        <f>L24/2</f>
        <v>36</v>
      </c>
      <c r="L24" s="5">
        <v>72</v>
      </c>
      <c r="M24" s="5">
        <v>56</v>
      </c>
      <c r="N24" s="3">
        <f>(L24+M24)/16</f>
        <v>8</v>
      </c>
      <c r="O24" s="3" t="s">
        <v>35</v>
      </c>
      <c r="P24" s="7" t="s">
        <v>167</v>
      </c>
      <c r="Q24" s="1" t="s">
        <v>168</v>
      </c>
      <c r="R24" s="63" t="s">
        <v>169</v>
      </c>
      <c r="S24" s="64" t="s">
        <v>122</v>
      </c>
    </row>
    <row r="25" spans="1:28" ht="13.5">
      <c r="A25" s="2" t="s">
        <v>170</v>
      </c>
      <c r="B25" s="4" t="s">
        <v>29</v>
      </c>
      <c r="C25" s="6" t="s">
        <v>42</v>
      </c>
      <c r="D25" s="20" t="s">
        <v>171</v>
      </c>
      <c r="E25" s="10">
        <v>41</v>
      </c>
      <c r="G25" s="4" t="s">
        <v>106</v>
      </c>
      <c r="H25" s="3">
        <v>1</v>
      </c>
      <c r="I25" s="2">
        <v>4</v>
      </c>
      <c r="J25" s="4" t="s">
        <v>34</v>
      </c>
      <c r="K25" s="5">
        <v>60</v>
      </c>
      <c r="L25" s="5">
        <v>60</v>
      </c>
      <c r="M25" s="5">
        <v>20</v>
      </c>
      <c r="N25" s="3">
        <f>(K25+M25)/16</f>
        <v>5</v>
      </c>
      <c r="O25" s="21" t="s">
        <v>35</v>
      </c>
      <c r="P25" s="1" t="s">
        <v>138</v>
      </c>
      <c r="Q25" s="1" t="s">
        <v>139</v>
      </c>
      <c r="V25" s="63" t="s">
        <v>102</v>
      </c>
      <c r="W25" s="64" t="s">
        <v>172</v>
      </c>
      <c r="X25" s="63" t="s">
        <v>173</v>
      </c>
      <c r="Y25" s="64" t="s">
        <v>39</v>
      </c>
    </row>
    <row r="26" spans="1:28" ht="13.5">
      <c r="A26" s="2" t="s">
        <v>174</v>
      </c>
      <c r="B26" s="4" t="s">
        <v>29</v>
      </c>
      <c r="C26" s="25" t="s">
        <v>42</v>
      </c>
      <c r="D26" s="7" t="s">
        <v>171</v>
      </c>
      <c r="E26" s="10">
        <v>42</v>
      </c>
      <c r="F26" s="3">
        <v>1</v>
      </c>
      <c r="G26" s="4" t="s">
        <v>175</v>
      </c>
      <c r="H26" s="3">
        <v>1</v>
      </c>
      <c r="I26" s="2">
        <v>3</v>
      </c>
      <c r="J26" s="4" t="s">
        <v>34</v>
      </c>
      <c r="K26" s="5">
        <v>48</v>
      </c>
      <c r="L26" s="5">
        <v>48</v>
      </c>
      <c r="M26" s="5">
        <v>48</v>
      </c>
      <c r="N26" s="8">
        <v>6</v>
      </c>
      <c r="O26" s="3" t="s">
        <v>176</v>
      </c>
      <c r="P26" s="1" t="s">
        <v>138</v>
      </c>
      <c r="Q26" s="1" t="s">
        <v>139</v>
      </c>
      <c r="R26" s="63" t="s">
        <v>124</v>
      </c>
      <c r="S26" s="64" t="s">
        <v>73</v>
      </c>
      <c r="T26" s="63" t="s">
        <v>177</v>
      </c>
      <c r="U26" s="64" t="s">
        <v>39</v>
      </c>
    </row>
    <row r="27" spans="1:28" ht="13.5">
      <c r="A27" s="2" t="s">
        <v>178</v>
      </c>
      <c r="B27" s="4" t="s">
        <v>29</v>
      </c>
      <c r="C27" s="25" t="s">
        <v>42</v>
      </c>
      <c r="D27" s="7" t="s">
        <v>171</v>
      </c>
      <c r="E27" s="10">
        <v>42</v>
      </c>
      <c r="F27" s="3">
        <v>2</v>
      </c>
      <c r="G27" s="4" t="s">
        <v>175</v>
      </c>
      <c r="H27" s="3">
        <v>1</v>
      </c>
      <c r="I27" s="2">
        <v>3</v>
      </c>
      <c r="J27" s="4" t="s">
        <v>34</v>
      </c>
      <c r="K27" s="5">
        <v>48</v>
      </c>
      <c r="L27" s="5">
        <v>48</v>
      </c>
      <c r="M27" s="5">
        <v>48</v>
      </c>
      <c r="N27" s="8">
        <v>6</v>
      </c>
      <c r="O27" s="3" t="s">
        <v>176</v>
      </c>
      <c r="P27" s="2" t="s">
        <v>94</v>
      </c>
      <c r="Q27" s="1" t="s">
        <v>95</v>
      </c>
      <c r="R27" s="63" t="s">
        <v>124</v>
      </c>
      <c r="S27" s="64" t="s">
        <v>39</v>
      </c>
      <c r="T27" s="63" t="s">
        <v>177</v>
      </c>
      <c r="U27" s="64" t="s">
        <v>40</v>
      </c>
    </row>
    <row r="28" spans="1:28" ht="13.5">
      <c r="A28" s="2" t="s">
        <v>179</v>
      </c>
      <c r="B28" s="4" t="s">
        <v>29</v>
      </c>
      <c r="C28" s="25" t="s">
        <v>42</v>
      </c>
      <c r="D28" s="7" t="s">
        <v>171</v>
      </c>
      <c r="E28" s="10">
        <v>42</v>
      </c>
      <c r="F28" s="3">
        <v>3</v>
      </c>
      <c r="G28" s="4" t="s">
        <v>175</v>
      </c>
      <c r="H28" s="3">
        <v>1</v>
      </c>
      <c r="I28" s="2">
        <v>3</v>
      </c>
      <c r="J28" s="4" t="s">
        <v>34</v>
      </c>
      <c r="K28" s="5">
        <v>48</v>
      </c>
      <c r="L28" s="5">
        <v>48</v>
      </c>
      <c r="M28" s="5">
        <v>48</v>
      </c>
      <c r="N28" s="8">
        <v>6</v>
      </c>
      <c r="O28" s="3" t="s">
        <v>176</v>
      </c>
      <c r="P28" s="1" t="s">
        <v>107</v>
      </c>
      <c r="Q28" s="1" t="s">
        <v>108</v>
      </c>
      <c r="R28" s="63" t="s">
        <v>124</v>
      </c>
      <c r="S28" s="64" t="s">
        <v>50</v>
      </c>
      <c r="T28" s="63" t="s">
        <v>177</v>
      </c>
      <c r="U28" s="64" t="s">
        <v>160</v>
      </c>
    </row>
    <row r="29" spans="1:28" ht="19.5" customHeight="1">
      <c r="A29" s="2" t="s">
        <v>180</v>
      </c>
      <c r="B29" s="4" t="s">
        <v>29</v>
      </c>
      <c r="C29" s="6" t="s">
        <v>42</v>
      </c>
      <c r="D29" s="20" t="s">
        <v>181</v>
      </c>
      <c r="E29" s="10">
        <v>45</v>
      </c>
      <c r="G29" s="4" t="s">
        <v>106</v>
      </c>
      <c r="H29" s="24">
        <v>2</v>
      </c>
      <c r="I29" s="2">
        <v>1.5</v>
      </c>
      <c r="J29" s="3" t="s">
        <v>86</v>
      </c>
      <c r="K29" s="5">
        <v>24</v>
      </c>
      <c r="L29" s="5">
        <v>48</v>
      </c>
      <c r="M29" s="5">
        <v>48</v>
      </c>
      <c r="N29" s="3">
        <v>9</v>
      </c>
      <c r="O29" s="3" t="s">
        <v>35</v>
      </c>
      <c r="P29" s="26" t="s">
        <v>157</v>
      </c>
      <c r="Q29" s="27" t="s">
        <v>158</v>
      </c>
      <c r="T29" s="63" t="s">
        <v>72</v>
      </c>
      <c r="U29" s="64" t="s">
        <v>97</v>
      </c>
    </row>
    <row r="30" spans="1:28" ht="13.5">
      <c r="A30" s="2" t="s">
        <v>182</v>
      </c>
      <c r="B30" s="3" t="s">
        <v>29</v>
      </c>
      <c r="C30" s="6" t="s">
        <v>42</v>
      </c>
      <c r="D30" s="7" t="s">
        <v>183</v>
      </c>
      <c r="E30" s="10">
        <v>46</v>
      </c>
      <c r="G30" s="4" t="s">
        <v>184</v>
      </c>
      <c r="H30" s="3">
        <v>1</v>
      </c>
      <c r="I30" s="2">
        <v>4</v>
      </c>
      <c r="J30" s="4" t="s">
        <v>34</v>
      </c>
      <c r="K30" s="5">
        <v>64</v>
      </c>
      <c r="L30" s="5">
        <v>64</v>
      </c>
      <c r="M30" s="5">
        <v>64</v>
      </c>
      <c r="N30" s="8">
        <v>8</v>
      </c>
      <c r="O30" s="3" t="s">
        <v>176</v>
      </c>
      <c r="P30" s="2" t="s">
        <v>94</v>
      </c>
      <c r="Q30" s="1" t="s">
        <v>95</v>
      </c>
      <c r="V30" s="63" t="s">
        <v>102</v>
      </c>
      <c r="W30" s="64" t="s">
        <v>73</v>
      </c>
      <c r="Z30" s="63" t="s">
        <v>140</v>
      </c>
      <c r="AA30" s="64" t="s">
        <v>73</v>
      </c>
    </row>
    <row r="31" spans="1:28" ht="13.5">
      <c r="A31" s="2" t="s">
        <v>185</v>
      </c>
      <c r="B31" s="3" t="s">
        <v>29</v>
      </c>
      <c r="C31" s="1" t="s">
        <v>42</v>
      </c>
      <c r="D31" s="7" t="s">
        <v>183</v>
      </c>
      <c r="E31" s="10">
        <v>47</v>
      </c>
      <c r="G31" s="4" t="s">
        <v>186</v>
      </c>
      <c r="H31" s="3">
        <v>1</v>
      </c>
      <c r="I31" s="2">
        <v>4.5</v>
      </c>
      <c r="J31" s="4" t="s">
        <v>34</v>
      </c>
      <c r="K31" s="5">
        <v>72</v>
      </c>
      <c r="L31" s="5">
        <v>72</v>
      </c>
      <c r="M31" s="5">
        <v>56</v>
      </c>
      <c r="N31" s="8">
        <v>8</v>
      </c>
      <c r="O31" s="3" t="s">
        <v>176</v>
      </c>
      <c r="P31" s="1" t="s">
        <v>187</v>
      </c>
      <c r="Q31" s="1" t="s">
        <v>188</v>
      </c>
      <c r="R31" s="63" t="s">
        <v>177</v>
      </c>
      <c r="S31" s="64" t="s">
        <v>64</v>
      </c>
      <c r="X31" s="63" t="s">
        <v>177</v>
      </c>
      <c r="Y31" s="64" t="s">
        <v>64</v>
      </c>
      <c r="Z31" s="63" t="s">
        <v>177</v>
      </c>
      <c r="AA31" s="64" t="s">
        <v>39</v>
      </c>
    </row>
    <row r="32" spans="1:28" ht="13.5">
      <c r="A32" s="2" t="s">
        <v>189</v>
      </c>
      <c r="B32" s="4" t="s">
        <v>29</v>
      </c>
      <c r="C32" s="6" t="s">
        <v>42</v>
      </c>
      <c r="D32" s="7" t="s">
        <v>183</v>
      </c>
      <c r="E32" s="10">
        <v>48</v>
      </c>
      <c r="F32" s="3">
        <v>1</v>
      </c>
      <c r="G32" s="4" t="s">
        <v>190</v>
      </c>
      <c r="H32" s="3">
        <v>1</v>
      </c>
      <c r="I32" s="2">
        <v>4</v>
      </c>
      <c r="J32" s="4" t="s">
        <v>34</v>
      </c>
      <c r="K32" s="5">
        <v>64</v>
      </c>
      <c r="L32" s="5">
        <v>64</v>
      </c>
      <c r="M32" s="5">
        <v>64</v>
      </c>
      <c r="N32" s="8">
        <f>(L32+M32)/16</f>
        <v>8</v>
      </c>
      <c r="O32" s="3" t="s">
        <v>191</v>
      </c>
      <c r="P32" s="1" t="s">
        <v>192</v>
      </c>
      <c r="Q32" s="1" t="s">
        <v>193</v>
      </c>
      <c r="R32" s="63"/>
      <c r="S32" s="64"/>
      <c r="V32" s="63" t="s">
        <v>96</v>
      </c>
      <c r="W32" s="64" t="s">
        <v>111</v>
      </c>
      <c r="X32" s="2" t="s">
        <v>194</v>
      </c>
      <c r="Y32" s="2" t="s">
        <v>39</v>
      </c>
    </row>
    <row r="33" spans="1:28" ht="24.75" customHeight="1">
      <c r="A33" s="2" t="s">
        <v>195</v>
      </c>
      <c r="B33" s="4" t="s">
        <v>29</v>
      </c>
      <c r="C33" s="6" t="s">
        <v>42</v>
      </c>
      <c r="D33" s="7" t="s">
        <v>183</v>
      </c>
      <c r="E33" s="10">
        <v>48</v>
      </c>
      <c r="F33" s="3">
        <v>2</v>
      </c>
      <c r="G33" s="4" t="s">
        <v>190</v>
      </c>
      <c r="H33" s="3">
        <v>1</v>
      </c>
      <c r="I33" s="2">
        <v>4</v>
      </c>
      <c r="J33" s="4" t="s">
        <v>34</v>
      </c>
      <c r="K33" s="5">
        <v>64</v>
      </c>
      <c r="L33" s="5">
        <v>64</v>
      </c>
      <c r="M33" s="5">
        <v>64</v>
      </c>
      <c r="N33" s="8">
        <f>(L33+M33)/16</f>
        <v>8</v>
      </c>
      <c r="O33" s="3" t="s">
        <v>191</v>
      </c>
      <c r="P33" s="2" t="s">
        <v>196</v>
      </c>
      <c r="Q33" s="2" t="s">
        <v>197</v>
      </c>
      <c r="R33" s="63"/>
      <c r="S33" s="64"/>
      <c r="T33" s="2" t="s">
        <v>102</v>
      </c>
      <c r="U33" s="2" t="s">
        <v>56</v>
      </c>
      <c r="V33" s="63" t="s">
        <v>198</v>
      </c>
      <c r="W33" s="64" t="s">
        <v>39</v>
      </c>
      <c r="AB33" s="71"/>
    </row>
    <row r="34" spans="1:28" ht="38.85" customHeight="1">
      <c r="A34" s="2" t="s">
        <v>199</v>
      </c>
      <c r="B34" s="4" t="s">
        <v>29</v>
      </c>
      <c r="C34" s="6" t="s">
        <v>42</v>
      </c>
      <c r="D34" s="7" t="s">
        <v>183</v>
      </c>
      <c r="E34" s="10">
        <v>50</v>
      </c>
      <c r="F34" s="3">
        <v>1</v>
      </c>
      <c r="G34" s="4" t="s">
        <v>200</v>
      </c>
      <c r="H34" s="3">
        <v>1</v>
      </c>
      <c r="I34" s="2">
        <v>4</v>
      </c>
      <c r="J34" s="4" t="s">
        <v>34</v>
      </c>
      <c r="K34" s="5">
        <v>64</v>
      </c>
      <c r="L34" s="5">
        <v>64</v>
      </c>
      <c r="M34" s="5">
        <v>64</v>
      </c>
      <c r="N34" s="8">
        <v>8</v>
      </c>
      <c r="O34" s="3" t="s">
        <v>176</v>
      </c>
      <c r="P34" s="1" t="s">
        <v>94</v>
      </c>
      <c r="Q34" s="1" t="s">
        <v>95</v>
      </c>
      <c r="T34" s="63" t="s">
        <v>102</v>
      </c>
      <c r="U34" s="64" t="s">
        <v>73</v>
      </c>
      <c r="Z34" s="63" t="s">
        <v>102</v>
      </c>
      <c r="AA34" s="64" t="s">
        <v>118</v>
      </c>
    </row>
    <row r="35" spans="1:28" ht="13.5">
      <c r="A35" s="2" t="s">
        <v>201</v>
      </c>
      <c r="B35" s="4" t="s">
        <v>29</v>
      </c>
      <c r="C35" s="6" t="s">
        <v>42</v>
      </c>
      <c r="D35" s="7" t="s">
        <v>183</v>
      </c>
      <c r="E35" s="10">
        <v>50</v>
      </c>
      <c r="F35" s="3">
        <v>2</v>
      </c>
      <c r="G35" s="4" t="s">
        <v>200</v>
      </c>
      <c r="H35" s="3">
        <v>1</v>
      </c>
      <c r="I35" s="2">
        <v>4</v>
      </c>
      <c r="J35" s="4" t="s">
        <v>34</v>
      </c>
      <c r="K35" s="5">
        <v>64</v>
      </c>
      <c r="L35" s="5">
        <v>64</v>
      </c>
      <c r="M35" s="5">
        <v>64</v>
      </c>
      <c r="N35" s="8">
        <v>8</v>
      </c>
      <c r="O35" s="3" t="s">
        <v>176</v>
      </c>
      <c r="P35" s="1" t="s">
        <v>202</v>
      </c>
      <c r="Q35" s="1" t="s">
        <v>203</v>
      </c>
      <c r="T35" s="63" t="s">
        <v>102</v>
      </c>
      <c r="U35" s="64" t="s">
        <v>204</v>
      </c>
      <c r="Z35" s="63" t="s">
        <v>102</v>
      </c>
      <c r="AA35" s="64" t="s">
        <v>204</v>
      </c>
    </row>
    <row r="36" spans="1:28" ht="13.5">
      <c r="A36" s="2" t="s">
        <v>205</v>
      </c>
      <c r="B36" s="4" t="s">
        <v>29</v>
      </c>
      <c r="C36" s="6" t="s">
        <v>42</v>
      </c>
      <c r="D36" s="7" t="s">
        <v>183</v>
      </c>
      <c r="E36" s="10">
        <v>50</v>
      </c>
      <c r="F36" s="3">
        <v>3</v>
      </c>
      <c r="G36" s="4" t="s">
        <v>200</v>
      </c>
      <c r="H36" s="3">
        <v>1</v>
      </c>
      <c r="I36" s="2">
        <v>4</v>
      </c>
      <c r="J36" s="4" t="s">
        <v>34</v>
      </c>
      <c r="K36" s="5">
        <v>64</v>
      </c>
      <c r="L36" s="5">
        <v>64</v>
      </c>
      <c r="M36" s="5">
        <v>64</v>
      </c>
      <c r="N36" s="8">
        <v>8</v>
      </c>
      <c r="O36" s="3" t="s">
        <v>176</v>
      </c>
      <c r="P36" s="1" t="s">
        <v>206</v>
      </c>
      <c r="Q36" s="1" t="s">
        <v>207</v>
      </c>
      <c r="T36" s="63" t="s">
        <v>102</v>
      </c>
      <c r="U36" s="64" t="s">
        <v>48</v>
      </c>
      <c r="Z36" s="63" t="s">
        <v>102</v>
      </c>
      <c r="AA36" s="64" t="s">
        <v>122</v>
      </c>
    </row>
    <row r="37" spans="1:28" ht="19.5" customHeight="1">
      <c r="A37" s="2" t="s">
        <v>208</v>
      </c>
      <c r="B37" s="4" t="s">
        <v>29</v>
      </c>
      <c r="C37" s="6" t="s">
        <v>42</v>
      </c>
      <c r="D37" s="20" t="s">
        <v>183</v>
      </c>
      <c r="E37" s="10">
        <v>53</v>
      </c>
      <c r="G37" s="4" t="s">
        <v>67</v>
      </c>
      <c r="H37" s="3">
        <v>1</v>
      </c>
      <c r="I37" s="2">
        <v>4.5</v>
      </c>
      <c r="J37" s="3" t="s">
        <v>209</v>
      </c>
      <c r="K37" s="5">
        <v>72</v>
      </c>
      <c r="L37" s="5">
        <v>72</v>
      </c>
      <c r="M37" s="5">
        <v>56</v>
      </c>
      <c r="N37" s="3">
        <f>(K37+M37)/16</f>
        <v>8</v>
      </c>
      <c r="O37" s="21" t="s">
        <v>68</v>
      </c>
      <c r="P37" s="1" t="s">
        <v>206</v>
      </c>
      <c r="Q37" s="1" t="s">
        <v>207</v>
      </c>
      <c r="R37" s="63" t="s">
        <v>148</v>
      </c>
      <c r="S37" s="64" t="s">
        <v>149</v>
      </c>
      <c r="T37" s="63" t="s">
        <v>210</v>
      </c>
      <c r="U37" s="64" t="s">
        <v>149</v>
      </c>
      <c r="X37" s="63" t="s">
        <v>148</v>
      </c>
      <c r="Y37" s="64" t="s">
        <v>149</v>
      </c>
    </row>
    <row r="38" spans="1:28" ht="19.5" customHeight="1">
      <c r="A38" s="2" t="s">
        <v>211</v>
      </c>
      <c r="B38" s="4" t="s">
        <v>29</v>
      </c>
      <c r="C38" s="6" t="s">
        <v>42</v>
      </c>
      <c r="D38" s="7" t="s">
        <v>212</v>
      </c>
      <c r="E38" s="10">
        <v>54</v>
      </c>
      <c r="G38" s="4" t="s">
        <v>120</v>
      </c>
      <c r="H38" s="3">
        <v>1</v>
      </c>
      <c r="I38" s="2">
        <v>4.5</v>
      </c>
      <c r="J38" s="3" t="s">
        <v>93</v>
      </c>
      <c r="K38" s="5">
        <v>72</v>
      </c>
      <c r="L38" s="5">
        <v>72</v>
      </c>
      <c r="M38" s="5">
        <v>40</v>
      </c>
      <c r="N38" s="3">
        <f>(K38+M38)/16</f>
        <v>7</v>
      </c>
      <c r="O38" s="21" t="s">
        <v>35</v>
      </c>
      <c r="P38" s="1" t="s">
        <v>213</v>
      </c>
      <c r="Q38" s="1" t="s">
        <v>214</v>
      </c>
      <c r="X38" s="63" t="s">
        <v>96</v>
      </c>
      <c r="Y38" s="64" t="s">
        <v>215</v>
      </c>
      <c r="Z38" s="63" t="s">
        <v>198</v>
      </c>
      <c r="AA38" s="64" t="s">
        <v>216</v>
      </c>
      <c r="AB38" s="72"/>
    </row>
    <row r="39" spans="1:28" ht="13.5">
      <c r="A39" s="2" t="s">
        <v>217</v>
      </c>
      <c r="B39" s="4" t="s">
        <v>29</v>
      </c>
      <c r="C39" s="1" t="s">
        <v>42</v>
      </c>
      <c r="D39" s="7" t="s">
        <v>218</v>
      </c>
      <c r="E39" s="10">
        <v>55</v>
      </c>
      <c r="G39" s="4" t="s">
        <v>59</v>
      </c>
      <c r="H39" s="3">
        <v>4</v>
      </c>
      <c r="I39" s="7">
        <v>2</v>
      </c>
      <c r="J39" s="3" t="s">
        <v>86</v>
      </c>
      <c r="K39" s="5">
        <f>L39/2</f>
        <v>32</v>
      </c>
      <c r="L39" s="5">
        <v>64</v>
      </c>
      <c r="M39" s="5">
        <v>32</v>
      </c>
      <c r="N39" s="3">
        <f>(L39+M39)/16</f>
        <v>6</v>
      </c>
      <c r="O39" s="3" t="s">
        <v>35</v>
      </c>
      <c r="P39" s="26" t="s">
        <v>219</v>
      </c>
      <c r="Q39" s="2" t="s">
        <v>220</v>
      </c>
      <c r="T39" s="63" t="s">
        <v>38</v>
      </c>
      <c r="U39" s="64" t="s">
        <v>64</v>
      </c>
    </row>
    <row r="40" spans="1:28" ht="13.5">
      <c r="A40" s="2" t="s">
        <v>221</v>
      </c>
      <c r="B40" s="4" t="s">
        <v>29</v>
      </c>
      <c r="C40" s="6" t="s">
        <v>42</v>
      </c>
      <c r="D40" s="7" t="s">
        <v>222</v>
      </c>
      <c r="E40" s="10">
        <v>56</v>
      </c>
      <c r="F40" s="3">
        <v>1</v>
      </c>
      <c r="G40" s="4" t="s">
        <v>106</v>
      </c>
      <c r="H40" s="3">
        <v>7</v>
      </c>
      <c r="I40" s="2">
        <v>2.5</v>
      </c>
      <c r="J40" s="3" t="s">
        <v>34</v>
      </c>
      <c r="K40" s="5">
        <v>40</v>
      </c>
      <c r="L40" s="5">
        <v>40</v>
      </c>
      <c r="M40" s="5">
        <v>40</v>
      </c>
      <c r="N40" s="3">
        <f>(K40+M40)/16</f>
        <v>5</v>
      </c>
      <c r="O40" s="3" t="s">
        <v>35</v>
      </c>
      <c r="P40" s="1" t="s">
        <v>223</v>
      </c>
      <c r="Q40" s="1" t="s">
        <v>224</v>
      </c>
      <c r="T40" s="63" t="s">
        <v>225</v>
      </c>
      <c r="U40" s="64" t="s">
        <v>226</v>
      </c>
    </row>
    <row r="41" spans="1:28" ht="13.5">
      <c r="A41" s="2" t="s">
        <v>227</v>
      </c>
      <c r="B41" s="4" t="s">
        <v>29</v>
      </c>
      <c r="C41" s="6" t="s">
        <v>42</v>
      </c>
      <c r="D41" s="7" t="s">
        <v>222</v>
      </c>
      <c r="E41" s="10">
        <v>56</v>
      </c>
      <c r="F41" s="3">
        <v>2</v>
      </c>
      <c r="G41" s="4" t="s">
        <v>106</v>
      </c>
      <c r="H41" s="3">
        <v>7</v>
      </c>
      <c r="I41" s="2">
        <v>2.5</v>
      </c>
      <c r="J41" s="3" t="s">
        <v>34</v>
      </c>
      <c r="K41" s="5">
        <v>40</v>
      </c>
      <c r="L41" s="5">
        <v>40</v>
      </c>
      <c r="M41" s="5">
        <v>40</v>
      </c>
      <c r="N41" s="3">
        <f>(K41+M41)/16</f>
        <v>5</v>
      </c>
      <c r="O41" s="3" t="s">
        <v>35</v>
      </c>
      <c r="P41" s="1" t="s">
        <v>223</v>
      </c>
      <c r="Q41" s="1" t="s">
        <v>224</v>
      </c>
      <c r="R41" s="63" t="s">
        <v>228</v>
      </c>
      <c r="S41" s="64" t="s">
        <v>226</v>
      </c>
    </row>
    <row r="42" spans="1:28" ht="22.5">
      <c r="A42" s="2" t="s">
        <v>229</v>
      </c>
      <c r="B42" s="4" t="s">
        <v>29</v>
      </c>
      <c r="C42" s="6" t="s">
        <v>42</v>
      </c>
      <c r="D42" s="20" t="s">
        <v>230</v>
      </c>
      <c r="E42" s="10">
        <v>58</v>
      </c>
      <c r="G42" s="4" t="s">
        <v>144</v>
      </c>
      <c r="H42" s="3" t="s">
        <v>145</v>
      </c>
      <c r="I42" s="2">
        <v>5</v>
      </c>
      <c r="J42" s="3" t="s">
        <v>146</v>
      </c>
      <c r="K42" s="5">
        <v>80</v>
      </c>
      <c r="L42" s="5">
        <v>80</v>
      </c>
      <c r="M42" s="5">
        <v>32</v>
      </c>
      <c r="N42" s="3">
        <v>7</v>
      </c>
      <c r="O42" s="21" t="s">
        <v>147</v>
      </c>
      <c r="P42" s="1" t="s">
        <v>231</v>
      </c>
      <c r="Q42" s="1" t="s">
        <v>232</v>
      </c>
      <c r="T42" s="63" t="s">
        <v>109</v>
      </c>
      <c r="U42" s="64" t="s">
        <v>226</v>
      </c>
      <c r="V42" s="63" t="s">
        <v>102</v>
      </c>
      <c r="W42" s="64" t="s">
        <v>226</v>
      </c>
      <c r="X42" s="63" t="s">
        <v>109</v>
      </c>
      <c r="Y42" s="64" t="s">
        <v>226</v>
      </c>
    </row>
    <row r="43" spans="1:28" ht="13.5">
      <c r="A43" s="2" t="s">
        <v>233</v>
      </c>
      <c r="B43" s="4" t="s">
        <v>29</v>
      </c>
      <c r="C43" s="6" t="s">
        <v>42</v>
      </c>
      <c r="D43" s="20" t="s">
        <v>234</v>
      </c>
      <c r="E43" s="10">
        <v>59</v>
      </c>
      <c r="G43" s="4" t="s">
        <v>67</v>
      </c>
      <c r="H43" s="3">
        <v>5</v>
      </c>
      <c r="I43" s="2">
        <v>4.5</v>
      </c>
      <c r="J43" s="3" t="s">
        <v>34</v>
      </c>
      <c r="K43" s="5">
        <v>72</v>
      </c>
      <c r="L43" s="5">
        <v>72</v>
      </c>
      <c r="M43" s="5">
        <v>56</v>
      </c>
      <c r="N43" s="3">
        <v>8</v>
      </c>
      <c r="O43" s="21" t="s">
        <v>68</v>
      </c>
      <c r="P43" s="2" t="s">
        <v>235</v>
      </c>
      <c r="Q43" s="1" t="s">
        <v>236</v>
      </c>
      <c r="R43" s="63" t="s">
        <v>152</v>
      </c>
      <c r="S43" s="64" t="s">
        <v>172</v>
      </c>
      <c r="T43" s="63" t="s">
        <v>71</v>
      </c>
      <c r="U43" s="64" t="s">
        <v>162</v>
      </c>
      <c r="X43" s="63" t="s">
        <v>237</v>
      </c>
      <c r="Y43" s="64" t="s">
        <v>39</v>
      </c>
    </row>
    <row r="44" spans="1:28" ht="20.100000000000001" customHeight="1">
      <c r="A44" s="2" t="s">
        <v>238</v>
      </c>
      <c r="B44" s="4" t="s">
        <v>29</v>
      </c>
      <c r="C44" s="6" t="s">
        <v>42</v>
      </c>
      <c r="D44" s="7" t="s">
        <v>239</v>
      </c>
      <c r="E44" s="10">
        <v>60</v>
      </c>
      <c r="G44" s="4" t="s">
        <v>59</v>
      </c>
      <c r="H44" s="3">
        <v>6</v>
      </c>
      <c r="I44" s="2">
        <v>2.5</v>
      </c>
      <c r="J44" s="3" t="s">
        <v>86</v>
      </c>
      <c r="K44" s="5">
        <v>36</v>
      </c>
      <c r="L44" s="5">
        <v>72</v>
      </c>
      <c r="M44" s="5">
        <v>40</v>
      </c>
      <c r="N44" s="3">
        <v>7</v>
      </c>
      <c r="O44" s="3" t="s">
        <v>240</v>
      </c>
      <c r="P44" s="1" t="s">
        <v>241</v>
      </c>
      <c r="Q44" s="2" t="s">
        <v>242</v>
      </c>
      <c r="R44" s="63" t="s">
        <v>243</v>
      </c>
      <c r="S44" s="64" t="s">
        <v>244</v>
      </c>
    </row>
    <row r="45" spans="1:28" ht="13.5">
      <c r="A45" s="2" t="s">
        <v>245</v>
      </c>
      <c r="B45" s="4" t="s">
        <v>29</v>
      </c>
      <c r="C45" s="6" t="s">
        <v>42</v>
      </c>
      <c r="D45" s="20" t="s">
        <v>246</v>
      </c>
      <c r="E45" s="10">
        <v>61</v>
      </c>
      <c r="G45" s="4" t="s">
        <v>133</v>
      </c>
      <c r="H45" s="3">
        <v>7</v>
      </c>
      <c r="I45" s="2">
        <v>4.5</v>
      </c>
      <c r="J45" s="3" t="s">
        <v>34</v>
      </c>
      <c r="K45" s="5">
        <v>72</v>
      </c>
      <c r="L45" s="5">
        <v>72</v>
      </c>
      <c r="M45" s="5">
        <v>56</v>
      </c>
      <c r="N45" s="3">
        <f>(K45+M45)/16</f>
        <v>8</v>
      </c>
      <c r="O45" s="21" t="s">
        <v>35</v>
      </c>
      <c r="P45" s="1" t="s">
        <v>247</v>
      </c>
      <c r="Q45" s="1" t="s">
        <v>248</v>
      </c>
      <c r="T45" s="63" t="s">
        <v>152</v>
      </c>
      <c r="U45" s="64" t="s">
        <v>215</v>
      </c>
      <c r="V45" s="63" t="s">
        <v>249</v>
      </c>
      <c r="W45" s="64" t="s">
        <v>244</v>
      </c>
      <c r="Z45" s="63" t="s">
        <v>152</v>
      </c>
      <c r="AA45" s="64" t="s">
        <v>215</v>
      </c>
      <c r="AB45" s="71"/>
    </row>
    <row r="46" spans="1:28" ht="13.5">
      <c r="A46" s="2" t="s">
        <v>250</v>
      </c>
      <c r="B46" s="4" t="s">
        <v>29</v>
      </c>
      <c r="C46" s="1" t="s">
        <v>42</v>
      </c>
      <c r="D46" s="7" t="s">
        <v>251</v>
      </c>
      <c r="E46" s="10">
        <v>62</v>
      </c>
      <c r="G46" s="4" t="s">
        <v>59</v>
      </c>
      <c r="H46" s="3">
        <v>4</v>
      </c>
      <c r="I46" s="2">
        <v>2.5</v>
      </c>
      <c r="J46" s="3" t="s">
        <v>86</v>
      </c>
      <c r="K46" s="5">
        <f>L46/2</f>
        <v>36</v>
      </c>
      <c r="L46" s="5">
        <v>72</v>
      </c>
      <c r="M46" s="5">
        <v>56</v>
      </c>
      <c r="N46" s="3">
        <f>(L46+M46)/16</f>
        <v>8</v>
      </c>
      <c r="O46" s="3" t="s">
        <v>35</v>
      </c>
      <c r="P46" s="2" t="s">
        <v>247</v>
      </c>
      <c r="Q46" s="2" t="s">
        <v>248</v>
      </c>
      <c r="Z46" s="63" t="s">
        <v>252</v>
      </c>
      <c r="AA46" s="64" t="s">
        <v>62</v>
      </c>
    </row>
    <row r="47" spans="1:28" ht="13.5">
      <c r="A47" s="2" t="s">
        <v>253</v>
      </c>
      <c r="B47" s="4" t="s">
        <v>29</v>
      </c>
      <c r="C47" s="6" t="s">
        <v>42</v>
      </c>
      <c r="D47" s="7" t="s">
        <v>251</v>
      </c>
      <c r="E47" s="10">
        <v>63</v>
      </c>
      <c r="F47" s="3">
        <v>1</v>
      </c>
      <c r="G47" s="4" t="s">
        <v>44</v>
      </c>
      <c r="H47" s="24">
        <v>3</v>
      </c>
      <c r="I47" s="2">
        <v>4.5</v>
      </c>
      <c r="J47" s="3" t="s">
        <v>34</v>
      </c>
      <c r="K47" s="5">
        <v>72</v>
      </c>
      <c r="L47" s="5">
        <v>72</v>
      </c>
      <c r="M47" s="5">
        <v>56</v>
      </c>
      <c r="N47" s="3">
        <f t="shared" ref="N47:N52" si="1">(K47+M47)/16</f>
        <v>8</v>
      </c>
      <c r="O47" s="21" t="s">
        <v>35</v>
      </c>
      <c r="P47" s="1" t="s">
        <v>247</v>
      </c>
      <c r="Q47" s="1" t="s">
        <v>248</v>
      </c>
      <c r="R47" s="63" t="s">
        <v>198</v>
      </c>
      <c r="S47" s="64" t="s">
        <v>215</v>
      </c>
      <c r="T47" s="63" t="s">
        <v>102</v>
      </c>
      <c r="U47" s="64" t="s">
        <v>215</v>
      </c>
    </row>
    <row r="48" spans="1:28" ht="13.5">
      <c r="A48" s="2" t="s">
        <v>254</v>
      </c>
      <c r="B48" s="4" t="s">
        <v>29</v>
      </c>
      <c r="C48" s="6" t="s">
        <v>42</v>
      </c>
      <c r="D48" s="7" t="s">
        <v>251</v>
      </c>
      <c r="E48" s="10">
        <v>63</v>
      </c>
      <c r="F48" s="3">
        <v>2</v>
      </c>
      <c r="G48" s="4" t="s">
        <v>44</v>
      </c>
      <c r="H48" s="24">
        <v>3</v>
      </c>
      <c r="I48" s="2">
        <v>4.5</v>
      </c>
      <c r="J48" s="3" t="s">
        <v>34</v>
      </c>
      <c r="K48" s="5">
        <v>72</v>
      </c>
      <c r="L48" s="5">
        <v>72</v>
      </c>
      <c r="M48" s="5">
        <v>56</v>
      </c>
      <c r="N48" s="3">
        <f t="shared" si="1"/>
        <v>8</v>
      </c>
      <c r="O48" s="21" t="s">
        <v>35</v>
      </c>
      <c r="P48" s="1" t="s">
        <v>255</v>
      </c>
      <c r="Q48" s="1" t="s">
        <v>256</v>
      </c>
      <c r="R48" s="63" t="s">
        <v>49</v>
      </c>
      <c r="S48" s="64" t="s">
        <v>257</v>
      </c>
      <c r="Z48" s="63" t="s">
        <v>258</v>
      </c>
      <c r="AA48" s="64" t="s">
        <v>216</v>
      </c>
    </row>
    <row r="49" spans="1:28" ht="27">
      <c r="A49" s="2" t="s">
        <v>259</v>
      </c>
      <c r="B49" s="4" t="s">
        <v>29</v>
      </c>
      <c r="C49" s="6" t="s">
        <v>42</v>
      </c>
      <c r="D49" s="7" t="s">
        <v>251</v>
      </c>
      <c r="E49" s="10">
        <v>63</v>
      </c>
      <c r="F49" s="3">
        <v>3</v>
      </c>
      <c r="G49" s="4" t="s">
        <v>44</v>
      </c>
      <c r="H49" s="24">
        <v>3</v>
      </c>
      <c r="I49" s="2">
        <v>4.5</v>
      </c>
      <c r="J49" s="4" t="s">
        <v>34</v>
      </c>
      <c r="K49" s="5">
        <v>72</v>
      </c>
      <c r="L49" s="5">
        <v>72</v>
      </c>
      <c r="M49" s="5">
        <v>56</v>
      </c>
      <c r="N49" s="3">
        <f t="shared" si="1"/>
        <v>8</v>
      </c>
      <c r="O49" s="21" t="s">
        <v>35</v>
      </c>
      <c r="P49" s="1" t="s">
        <v>255</v>
      </c>
      <c r="Q49" s="1" t="s">
        <v>256</v>
      </c>
      <c r="T49" s="63" t="s">
        <v>38</v>
      </c>
      <c r="U49" s="64" t="s">
        <v>244</v>
      </c>
      <c r="V49" s="63" t="s">
        <v>38</v>
      </c>
      <c r="W49" s="64" t="s">
        <v>260</v>
      </c>
    </row>
    <row r="50" spans="1:28" ht="12" customHeight="1">
      <c r="A50" s="2" t="s">
        <v>261</v>
      </c>
      <c r="B50" s="4" t="s">
        <v>29</v>
      </c>
      <c r="C50" s="6" t="s">
        <v>42</v>
      </c>
      <c r="D50" s="7" t="s">
        <v>251</v>
      </c>
      <c r="E50" s="10">
        <v>63</v>
      </c>
      <c r="F50" s="3">
        <v>4</v>
      </c>
      <c r="G50" s="4" t="s">
        <v>44</v>
      </c>
      <c r="H50" s="24">
        <v>3</v>
      </c>
      <c r="I50" s="2">
        <v>4.5</v>
      </c>
      <c r="J50" s="4" t="s">
        <v>34</v>
      </c>
      <c r="K50" s="5">
        <v>72</v>
      </c>
      <c r="L50" s="5">
        <v>72</v>
      </c>
      <c r="M50" s="5">
        <v>56</v>
      </c>
      <c r="N50" s="3">
        <f t="shared" si="1"/>
        <v>8</v>
      </c>
      <c r="O50" s="21" t="s">
        <v>35</v>
      </c>
      <c r="P50" s="2" t="s">
        <v>262</v>
      </c>
      <c r="Q50" s="1" t="s">
        <v>263</v>
      </c>
      <c r="R50" s="63" t="s">
        <v>141</v>
      </c>
      <c r="S50" s="64" t="s">
        <v>257</v>
      </c>
      <c r="X50" s="63" t="s">
        <v>198</v>
      </c>
      <c r="Y50" s="64" t="s">
        <v>257</v>
      </c>
    </row>
    <row r="51" spans="1:28" ht="13.5">
      <c r="A51" s="2" t="s">
        <v>264</v>
      </c>
      <c r="B51" s="4" t="s">
        <v>29</v>
      </c>
      <c r="C51" s="6" t="s">
        <v>42</v>
      </c>
      <c r="D51" s="7" t="s">
        <v>265</v>
      </c>
      <c r="E51" s="10">
        <v>67</v>
      </c>
      <c r="F51" s="3">
        <v>1</v>
      </c>
      <c r="G51" s="4" t="s">
        <v>44</v>
      </c>
      <c r="H51" s="3">
        <v>5</v>
      </c>
      <c r="I51" s="2">
        <v>4.5</v>
      </c>
      <c r="J51" s="3" t="s">
        <v>34</v>
      </c>
      <c r="K51" s="5">
        <v>72</v>
      </c>
      <c r="L51" s="5">
        <v>72</v>
      </c>
      <c r="M51" s="5">
        <v>40</v>
      </c>
      <c r="N51" s="3">
        <f t="shared" si="1"/>
        <v>7</v>
      </c>
      <c r="O51" s="3" t="s">
        <v>35</v>
      </c>
      <c r="P51" s="1" t="s">
        <v>266</v>
      </c>
      <c r="Q51" s="1" t="s">
        <v>267</v>
      </c>
      <c r="R51" s="63" t="s">
        <v>268</v>
      </c>
      <c r="S51" s="64" t="s">
        <v>216</v>
      </c>
      <c r="T51" s="63" t="s">
        <v>154</v>
      </c>
      <c r="U51" s="64" t="s">
        <v>216</v>
      </c>
      <c r="Z51" s="63" t="s">
        <v>74</v>
      </c>
      <c r="AA51" s="64" t="s">
        <v>216</v>
      </c>
    </row>
    <row r="52" spans="1:28" ht="13.5">
      <c r="A52" s="2" t="s">
        <v>269</v>
      </c>
      <c r="B52" s="4" t="s">
        <v>29</v>
      </c>
      <c r="C52" s="6" t="s">
        <v>42</v>
      </c>
      <c r="D52" s="7" t="s">
        <v>265</v>
      </c>
      <c r="E52" s="10">
        <v>67</v>
      </c>
      <c r="F52" s="3">
        <v>2</v>
      </c>
      <c r="G52" s="4" t="s">
        <v>44</v>
      </c>
      <c r="H52" s="3">
        <v>5</v>
      </c>
      <c r="I52" s="2">
        <v>4.5</v>
      </c>
      <c r="J52" s="3" t="s">
        <v>34</v>
      </c>
      <c r="K52" s="5">
        <v>72</v>
      </c>
      <c r="L52" s="5">
        <v>72</v>
      </c>
      <c r="M52" s="5">
        <v>40</v>
      </c>
      <c r="N52" s="3">
        <f t="shared" si="1"/>
        <v>7</v>
      </c>
      <c r="O52" s="3" t="s">
        <v>35</v>
      </c>
      <c r="P52" s="28" t="s">
        <v>270</v>
      </c>
      <c r="Q52" s="28" t="s">
        <v>271</v>
      </c>
      <c r="T52" s="63" t="s">
        <v>272</v>
      </c>
      <c r="U52" s="64" t="s">
        <v>257</v>
      </c>
      <c r="V52" s="63" t="s">
        <v>71</v>
      </c>
      <c r="W52" s="64" t="s">
        <v>110</v>
      </c>
      <c r="Z52" s="63" t="s">
        <v>74</v>
      </c>
      <c r="AA52" s="64" t="s">
        <v>257</v>
      </c>
    </row>
    <row r="53" spans="1:28" ht="12" customHeight="1">
      <c r="A53" s="2" t="s">
        <v>273</v>
      </c>
      <c r="B53" s="4" t="s">
        <v>29</v>
      </c>
      <c r="C53" s="6" t="s">
        <v>42</v>
      </c>
      <c r="D53" s="7" t="s">
        <v>265</v>
      </c>
      <c r="E53" s="10">
        <v>67</v>
      </c>
      <c r="F53" s="3">
        <v>3</v>
      </c>
      <c r="G53" s="4" t="s">
        <v>44</v>
      </c>
      <c r="H53" s="3">
        <v>5</v>
      </c>
      <c r="I53" s="2">
        <v>4.5</v>
      </c>
      <c r="J53" s="3" t="s">
        <v>34</v>
      </c>
      <c r="K53" s="5">
        <v>72</v>
      </c>
      <c r="L53" s="5">
        <v>72</v>
      </c>
      <c r="M53" s="5">
        <v>40</v>
      </c>
      <c r="N53" s="3">
        <v>7</v>
      </c>
      <c r="O53" s="3" t="s">
        <v>35</v>
      </c>
      <c r="P53" s="1" t="s">
        <v>274</v>
      </c>
      <c r="Q53" s="1" t="s">
        <v>275</v>
      </c>
      <c r="R53" s="63" t="s">
        <v>276</v>
      </c>
      <c r="S53" s="64" t="s">
        <v>226</v>
      </c>
      <c r="V53" s="63" t="s">
        <v>71</v>
      </c>
      <c r="W53" s="64" t="s">
        <v>226</v>
      </c>
      <c r="X53" s="63" t="s">
        <v>154</v>
      </c>
      <c r="Y53" s="64" t="s">
        <v>226</v>
      </c>
    </row>
    <row r="54" spans="1:28" ht="15" customHeight="1">
      <c r="A54" s="2" t="s">
        <v>277</v>
      </c>
      <c r="B54" s="4" t="s">
        <v>29</v>
      </c>
      <c r="C54" s="1" t="s">
        <v>42</v>
      </c>
      <c r="D54" s="7" t="s">
        <v>278</v>
      </c>
      <c r="E54" s="10">
        <v>70</v>
      </c>
      <c r="G54" s="4" t="s">
        <v>44</v>
      </c>
      <c r="H54" s="3">
        <v>6</v>
      </c>
      <c r="I54" s="2">
        <v>2.5</v>
      </c>
      <c r="J54" s="3" t="s">
        <v>86</v>
      </c>
      <c r="K54" s="5">
        <f>L54/2</f>
        <v>36</v>
      </c>
      <c r="L54" s="5">
        <v>72</v>
      </c>
      <c r="M54" s="5">
        <v>40</v>
      </c>
      <c r="N54" s="3">
        <f>(L54+M54)/16</f>
        <v>7</v>
      </c>
      <c r="O54" s="3" t="s">
        <v>35</v>
      </c>
      <c r="P54" s="1" t="s">
        <v>279</v>
      </c>
      <c r="Q54" s="1" t="s">
        <v>280</v>
      </c>
      <c r="R54" s="63" t="s">
        <v>243</v>
      </c>
      <c r="S54" s="64" t="s">
        <v>48</v>
      </c>
    </row>
    <row r="55" spans="1:28" ht="15" customHeight="1">
      <c r="A55" s="2" t="s">
        <v>281</v>
      </c>
      <c r="B55" s="4" t="s">
        <v>29</v>
      </c>
      <c r="C55" s="6" t="s">
        <v>42</v>
      </c>
      <c r="D55" s="7" t="s">
        <v>282</v>
      </c>
      <c r="E55" s="10">
        <v>71</v>
      </c>
      <c r="F55" s="3">
        <v>1</v>
      </c>
      <c r="G55" s="4" t="s">
        <v>106</v>
      </c>
      <c r="H55" s="3">
        <v>7</v>
      </c>
      <c r="I55" s="2">
        <v>5</v>
      </c>
      <c r="J55" s="3" t="s">
        <v>34</v>
      </c>
      <c r="K55" s="5">
        <v>80</v>
      </c>
      <c r="L55" s="5">
        <v>80</v>
      </c>
      <c r="M55" s="5">
        <v>64</v>
      </c>
      <c r="N55" s="3">
        <f>(K55+M55)/16</f>
        <v>9</v>
      </c>
      <c r="O55" s="21" t="s">
        <v>35</v>
      </c>
      <c r="P55" s="1" t="s">
        <v>283</v>
      </c>
      <c r="Q55" s="1" t="s">
        <v>284</v>
      </c>
      <c r="R55" s="63" t="s">
        <v>55</v>
      </c>
      <c r="S55" s="64" t="s">
        <v>149</v>
      </c>
      <c r="X55" s="63" t="s">
        <v>237</v>
      </c>
      <c r="Y55" s="64" t="s">
        <v>149</v>
      </c>
      <c r="Z55" s="63" t="s">
        <v>154</v>
      </c>
      <c r="AA55" s="64" t="s">
        <v>56</v>
      </c>
    </row>
    <row r="56" spans="1:28" ht="15" customHeight="1">
      <c r="A56" s="2" t="s">
        <v>285</v>
      </c>
      <c r="B56" s="4" t="s">
        <v>29</v>
      </c>
      <c r="C56" s="6" t="s">
        <v>42</v>
      </c>
      <c r="D56" s="7" t="s">
        <v>282</v>
      </c>
      <c r="E56" s="10">
        <v>71</v>
      </c>
      <c r="F56" s="3">
        <v>2</v>
      </c>
      <c r="G56" s="4" t="s">
        <v>106</v>
      </c>
      <c r="H56" s="3">
        <v>7</v>
      </c>
      <c r="I56" s="2">
        <v>5</v>
      </c>
      <c r="J56" s="3" t="s">
        <v>34</v>
      </c>
      <c r="K56" s="5">
        <v>80</v>
      </c>
      <c r="L56" s="5">
        <v>80</v>
      </c>
      <c r="M56" s="5">
        <v>64</v>
      </c>
      <c r="N56" s="3">
        <f>(K56+M56)/16</f>
        <v>9</v>
      </c>
      <c r="O56" s="21" t="s">
        <v>35</v>
      </c>
      <c r="P56" s="1" t="s">
        <v>283</v>
      </c>
      <c r="Q56" s="1" t="s">
        <v>284</v>
      </c>
      <c r="T56" s="63" t="s">
        <v>54</v>
      </c>
      <c r="U56" s="64" t="s">
        <v>172</v>
      </c>
      <c r="V56" s="63" t="s">
        <v>276</v>
      </c>
      <c r="W56" s="64" t="s">
        <v>97</v>
      </c>
      <c r="X56" s="63" t="s">
        <v>74</v>
      </c>
      <c r="Y56" s="64" t="s">
        <v>64</v>
      </c>
      <c r="AB56" s="71"/>
    </row>
    <row r="57" spans="1:28" ht="12.75" customHeight="1">
      <c r="A57" s="2" t="s">
        <v>286</v>
      </c>
      <c r="B57" s="4" t="s">
        <v>29</v>
      </c>
      <c r="C57" s="6" t="s">
        <v>42</v>
      </c>
      <c r="D57" s="20" t="s">
        <v>287</v>
      </c>
      <c r="E57" s="10">
        <v>73</v>
      </c>
      <c r="F57" s="3">
        <v>1</v>
      </c>
      <c r="G57" s="4" t="s">
        <v>106</v>
      </c>
      <c r="H57" s="3">
        <v>5</v>
      </c>
      <c r="I57" s="2">
        <v>4</v>
      </c>
      <c r="J57" s="3" t="s">
        <v>34</v>
      </c>
      <c r="K57" s="5">
        <v>64</v>
      </c>
      <c r="L57" s="5">
        <v>64</v>
      </c>
      <c r="M57" s="5">
        <v>64</v>
      </c>
      <c r="N57" s="3">
        <f>(K57+M57)/16</f>
        <v>8</v>
      </c>
      <c r="O57" s="21" t="s">
        <v>35</v>
      </c>
      <c r="P57" s="1" t="s">
        <v>288</v>
      </c>
      <c r="Q57" s="1" t="s">
        <v>289</v>
      </c>
      <c r="R57" s="63" t="s">
        <v>290</v>
      </c>
      <c r="S57" s="64" t="s">
        <v>122</v>
      </c>
      <c r="Z57" s="63" t="s">
        <v>63</v>
      </c>
      <c r="AA57" s="64" t="s">
        <v>110</v>
      </c>
      <c r="AB57" s="71"/>
    </row>
    <row r="58" spans="1:28" ht="13.5">
      <c r="A58" s="2" t="s">
        <v>291</v>
      </c>
      <c r="B58" s="4" t="s">
        <v>29</v>
      </c>
      <c r="C58" s="6" t="s">
        <v>42</v>
      </c>
      <c r="D58" s="20" t="s">
        <v>287</v>
      </c>
      <c r="E58" s="10">
        <v>73</v>
      </c>
      <c r="F58" s="3">
        <v>2</v>
      </c>
      <c r="G58" s="4" t="s">
        <v>106</v>
      </c>
      <c r="H58" s="3">
        <v>5</v>
      </c>
      <c r="I58" s="2">
        <v>4</v>
      </c>
      <c r="J58" s="3" t="s">
        <v>34</v>
      </c>
      <c r="K58" s="5">
        <v>64</v>
      </c>
      <c r="L58" s="5">
        <v>64</v>
      </c>
      <c r="M58" s="5">
        <v>64</v>
      </c>
      <c r="N58" s="3">
        <f>(K58+M58)/16</f>
        <v>8</v>
      </c>
      <c r="O58" s="21" t="s">
        <v>35</v>
      </c>
      <c r="P58" s="1" t="s">
        <v>292</v>
      </c>
      <c r="Q58" s="1" t="s">
        <v>293</v>
      </c>
      <c r="T58" s="63" t="s">
        <v>294</v>
      </c>
      <c r="U58" s="64" t="s">
        <v>149</v>
      </c>
      <c r="Z58" s="63" t="s">
        <v>49</v>
      </c>
      <c r="AA58" s="64" t="s">
        <v>118</v>
      </c>
    </row>
    <row r="59" spans="1:28" ht="13.5">
      <c r="A59" s="2" t="s">
        <v>295</v>
      </c>
      <c r="B59" s="4" t="s">
        <v>29</v>
      </c>
      <c r="C59" s="1" t="s">
        <v>42</v>
      </c>
      <c r="D59" s="7" t="s">
        <v>296</v>
      </c>
      <c r="E59" s="10">
        <v>75</v>
      </c>
      <c r="G59" s="4" t="s">
        <v>106</v>
      </c>
      <c r="H59" s="3">
        <v>6</v>
      </c>
      <c r="I59" s="7">
        <v>2</v>
      </c>
      <c r="J59" s="3" t="s">
        <v>86</v>
      </c>
      <c r="K59" s="5">
        <f>L59/2</f>
        <v>32</v>
      </c>
      <c r="L59" s="5">
        <v>64</v>
      </c>
      <c r="M59" s="5">
        <v>64</v>
      </c>
      <c r="N59" s="3">
        <f>(L59+M59)/16</f>
        <v>8</v>
      </c>
      <c r="O59" s="3" t="s">
        <v>35</v>
      </c>
      <c r="P59" s="1" t="s">
        <v>283</v>
      </c>
      <c r="Q59" s="1" t="s">
        <v>284</v>
      </c>
      <c r="T59" s="63" t="s">
        <v>103</v>
      </c>
      <c r="U59" s="64" t="s">
        <v>97</v>
      </c>
    </row>
    <row r="60" spans="1:28" ht="13.5">
      <c r="A60" s="2" t="s">
        <v>297</v>
      </c>
      <c r="B60" s="4" t="s">
        <v>29</v>
      </c>
      <c r="C60" s="6" t="s">
        <v>42</v>
      </c>
      <c r="D60" s="20" t="s">
        <v>298</v>
      </c>
      <c r="E60" s="10">
        <v>76</v>
      </c>
      <c r="G60" s="4" t="s">
        <v>77</v>
      </c>
      <c r="H60" s="3">
        <v>5</v>
      </c>
      <c r="I60" s="2">
        <v>4.5</v>
      </c>
      <c r="J60" s="3" t="s">
        <v>78</v>
      </c>
      <c r="K60" s="5">
        <v>67.5</v>
      </c>
      <c r="L60" s="5">
        <v>67.5</v>
      </c>
      <c r="N60" s="3">
        <v>9</v>
      </c>
      <c r="O60" s="21" t="s">
        <v>79</v>
      </c>
      <c r="P60" s="2" t="s">
        <v>299</v>
      </c>
      <c r="Q60" s="2" t="s">
        <v>300</v>
      </c>
      <c r="R60" s="63" t="s">
        <v>124</v>
      </c>
      <c r="S60" s="64" t="s">
        <v>160</v>
      </c>
      <c r="V60" s="63" t="s">
        <v>72</v>
      </c>
      <c r="W60" s="64" t="s">
        <v>83</v>
      </c>
      <c r="X60" s="63"/>
      <c r="Y60" s="64"/>
      <c r="Z60" s="2" t="s">
        <v>124</v>
      </c>
      <c r="AA60" s="2" t="s">
        <v>165</v>
      </c>
      <c r="AB60" s="71"/>
    </row>
    <row r="61" spans="1:28" ht="13.5">
      <c r="A61" s="2" t="s">
        <v>301</v>
      </c>
      <c r="B61" s="4" t="s">
        <v>29</v>
      </c>
      <c r="C61" s="6" t="s">
        <v>42</v>
      </c>
      <c r="D61" s="20" t="s">
        <v>302</v>
      </c>
      <c r="E61" s="10">
        <v>77</v>
      </c>
      <c r="G61" s="4" t="s">
        <v>137</v>
      </c>
      <c r="H61" s="24">
        <v>3</v>
      </c>
      <c r="I61" s="2">
        <v>5</v>
      </c>
      <c r="J61" s="3" t="s">
        <v>34</v>
      </c>
      <c r="K61" s="5">
        <v>80</v>
      </c>
      <c r="L61" s="5">
        <v>80</v>
      </c>
      <c r="M61" s="5">
        <v>80</v>
      </c>
      <c r="N61" s="3">
        <f>(K61+M61)/16</f>
        <v>10</v>
      </c>
      <c r="O61" s="21" t="s">
        <v>35</v>
      </c>
      <c r="P61" s="25" t="s">
        <v>100</v>
      </c>
      <c r="Q61" s="25" t="s">
        <v>101</v>
      </c>
      <c r="T61" s="63" t="s">
        <v>49</v>
      </c>
      <c r="U61" s="64" t="s">
        <v>40</v>
      </c>
      <c r="X61" s="63" t="s">
        <v>72</v>
      </c>
      <c r="Y61" s="64" t="s">
        <v>40</v>
      </c>
      <c r="Z61" s="63" t="s">
        <v>123</v>
      </c>
      <c r="AA61" s="64" t="s">
        <v>40</v>
      </c>
    </row>
    <row r="62" spans="1:28" ht="14.25" customHeight="1">
      <c r="A62" s="2" t="s">
        <v>303</v>
      </c>
      <c r="B62" s="4" t="s">
        <v>29</v>
      </c>
      <c r="C62" s="1" t="s">
        <v>42</v>
      </c>
      <c r="D62" s="7" t="s">
        <v>302</v>
      </c>
      <c r="E62" s="10">
        <v>78</v>
      </c>
      <c r="G62" s="4" t="s">
        <v>304</v>
      </c>
      <c r="H62" s="3">
        <v>2</v>
      </c>
      <c r="I62" s="2">
        <v>2.5</v>
      </c>
      <c r="J62" s="3" t="s">
        <v>86</v>
      </c>
      <c r="K62" s="5">
        <f>L62/2</f>
        <v>36</v>
      </c>
      <c r="L62" s="5">
        <v>72</v>
      </c>
      <c r="M62" s="5">
        <v>56</v>
      </c>
      <c r="N62" s="3">
        <f>(L62+M62)/16</f>
        <v>8</v>
      </c>
      <c r="O62" s="3" t="s">
        <v>35</v>
      </c>
      <c r="P62" s="2" t="s">
        <v>305</v>
      </c>
      <c r="Q62" s="7" t="s">
        <v>306</v>
      </c>
      <c r="Z62" s="63" t="s">
        <v>252</v>
      </c>
      <c r="AA62" s="64" t="s">
        <v>162</v>
      </c>
    </row>
    <row r="63" spans="1:28" ht="13.5">
      <c r="A63" s="2" t="s">
        <v>307</v>
      </c>
      <c r="B63" s="4" t="s">
        <v>29</v>
      </c>
      <c r="C63" s="6" t="s">
        <v>42</v>
      </c>
      <c r="D63" s="7" t="s">
        <v>308</v>
      </c>
      <c r="E63" s="10">
        <v>80</v>
      </c>
      <c r="F63" s="3">
        <v>5</v>
      </c>
      <c r="G63" s="4" t="s">
        <v>120</v>
      </c>
      <c r="H63" s="24">
        <v>3</v>
      </c>
      <c r="I63" s="2">
        <v>4.5</v>
      </c>
      <c r="J63" s="3" t="s">
        <v>34</v>
      </c>
      <c r="K63" s="5">
        <v>72</v>
      </c>
      <c r="L63" s="5">
        <v>72</v>
      </c>
      <c r="M63" s="5">
        <v>56</v>
      </c>
      <c r="N63" s="3">
        <f>(K63+M63)/16</f>
        <v>8</v>
      </c>
      <c r="O63" s="21" t="s">
        <v>35</v>
      </c>
      <c r="P63" s="1" t="s">
        <v>309</v>
      </c>
      <c r="Q63" s="1" t="s">
        <v>310</v>
      </c>
      <c r="V63" s="63" t="s">
        <v>311</v>
      </c>
      <c r="W63" s="64" t="s">
        <v>64</v>
      </c>
      <c r="X63" s="63" t="s">
        <v>148</v>
      </c>
      <c r="Y63" s="64" t="s">
        <v>56</v>
      </c>
      <c r="Z63" s="63" t="s">
        <v>311</v>
      </c>
      <c r="AA63" s="64" t="s">
        <v>122</v>
      </c>
    </row>
    <row r="64" spans="1:28" ht="13.5">
      <c r="A64" s="2" t="s">
        <v>312</v>
      </c>
      <c r="B64" s="4" t="s">
        <v>29</v>
      </c>
      <c r="C64" s="6" t="s">
        <v>42</v>
      </c>
      <c r="D64" s="7" t="s">
        <v>308</v>
      </c>
      <c r="E64" s="10">
        <v>80</v>
      </c>
      <c r="F64" s="3">
        <v>1</v>
      </c>
      <c r="G64" s="4" t="s">
        <v>313</v>
      </c>
      <c r="H64" s="24">
        <v>3</v>
      </c>
      <c r="I64" s="2">
        <v>4.5</v>
      </c>
      <c r="J64" s="3" t="s">
        <v>34</v>
      </c>
      <c r="K64" s="5">
        <v>72</v>
      </c>
      <c r="L64" s="5">
        <v>72</v>
      </c>
      <c r="M64" s="5">
        <v>56</v>
      </c>
      <c r="N64" s="3">
        <f>(K64+M64)/16</f>
        <v>8</v>
      </c>
      <c r="O64" s="21" t="s">
        <v>35</v>
      </c>
      <c r="P64" s="25" t="s">
        <v>314</v>
      </c>
      <c r="Q64" s="25" t="s">
        <v>315</v>
      </c>
      <c r="V64" s="63" t="s">
        <v>311</v>
      </c>
      <c r="W64" s="64" t="s">
        <v>204</v>
      </c>
      <c r="X64" s="63" t="s">
        <v>148</v>
      </c>
      <c r="Y64" s="64" t="s">
        <v>118</v>
      </c>
      <c r="Z64" s="63" t="s">
        <v>311</v>
      </c>
      <c r="AA64" s="64" t="s">
        <v>48</v>
      </c>
    </row>
    <row r="65" spans="1:27" ht="13.5">
      <c r="A65" s="2" t="s">
        <v>316</v>
      </c>
      <c r="B65" s="4" t="s">
        <v>29</v>
      </c>
      <c r="C65" s="6" t="s">
        <v>42</v>
      </c>
      <c r="D65" s="7" t="s">
        <v>308</v>
      </c>
      <c r="E65" s="10">
        <v>80</v>
      </c>
      <c r="F65" s="3">
        <v>2</v>
      </c>
      <c r="G65" s="4" t="s">
        <v>313</v>
      </c>
      <c r="H65" s="24">
        <v>3</v>
      </c>
      <c r="I65" s="2">
        <v>4.5</v>
      </c>
      <c r="J65" s="3" t="s">
        <v>34</v>
      </c>
      <c r="K65" s="5">
        <v>72</v>
      </c>
      <c r="L65" s="5">
        <v>72</v>
      </c>
      <c r="M65" s="5">
        <v>56</v>
      </c>
      <c r="N65" s="3">
        <f>(K65+M65)/16</f>
        <v>8</v>
      </c>
      <c r="O65" s="21" t="s">
        <v>35</v>
      </c>
      <c r="P65" s="25" t="s">
        <v>317</v>
      </c>
      <c r="Q65" s="1" t="s">
        <v>318</v>
      </c>
      <c r="V65" s="63" t="s">
        <v>311</v>
      </c>
      <c r="W65" s="64" t="s">
        <v>122</v>
      </c>
      <c r="X65" s="63" t="s">
        <v>148</v>
      </c>
      <c r="Y65" s="64" t="s">
        <v>73</v>
      </c>
      <c r="Z65" s="63" t="s">
        <v>311</v>
      </c>
      <c r="AA65" s="64" t="s">
        <v>162</v>
      </c>
    </row>
    <row r="66" spans="1:27" ht="13.5">
      <c r="A66" s="2" t="s">
        <v>319</v>
      </c>
      <c r="B66" s="4" t="s">
        <v>29</v>
      </c>
      <c r="C66" s="6" t="s">
        <v>42</v>
      </c>
      <c r="D66" s="7" t="s">
        <v>308</v>
      </c>
      <c r="E66" s="10">
        <v>80</v>
      </c>
      <c r="F66" s="3">
        <v>3</v>
      </c>
      <c r="G66" s="4" t="s">
        <v>313</v>
      </c>
      <c r="H66" s="24">
        <v>3</v>
      </c>
      <c r="I66" s="2">
        <v>4.5</v>
      </c>
      <c r="J66" s="3" t="s">
        <v>34</v>
      </c>
      <c r="K66" s="5">
        <v>72</v>
      </c>
      <c r="L66" s="5">
        <v>72</v>
      </c>
      <c r="M66" s="5">
        <v>56</v>
      </c>
      <c r="N66" s="3">
        <f>(K66+M66)/16</f>
        <v>8</v>
      </c>
      <c r="O66" s="21" t="s">
        <v>35</v>
      </c>
      <c r="P66" s="25" t="s">
        <v>320</v>
      </c>
      <c r="Q66" s="25" t="s">
        <v>321</v>
      </c>
      <c r="V66" s="63" t="s">
        <v>311</v>
      </c>
      <c r="W66" s="64" t="s">
        <v>83</v>
      </c>
      <c r="X66" s="63" t="s">
        <v>148</v>
      </c>
      <c r="Y66" s="64" t="s">
        <v>48</v>
      </c>
      <c r="Z66" s="63" t="s">
        <v>311</v>
      </c>
      <c r="AA66" s="64" t="s">
        <v>204</v>
      </c>
    </row>
    <row r="67" spans="1:27" ht="13.5">
      <c r="A67" s="2" t="s">
        <v>322</v>
      </c>
      <c r="B67" s="4" t="s">
        <v>29</v>
      </c>
      <c r="C67" s="6" t="s">
        <v>42</v>
      </c>
      <c r="D67" s="7" t="s">
        <v>308</v>
      </c>
      <c r="E67" s="10">
        <v>80</v>
      </c>
      <c r="F67" s="3">
        <v>4</v>
      </c>
      <c r="G67" s="4" t="s">
        <v>313</v>
      </c>
      <c r="H67" s="24">
        <v>3</v>
      </c>
      <c r="I67" s="2">
        <v>4.5</v>
      </c>
      <c r="J67" s="3" t="s">
        <v>34</v>
      </c>
      <c r="K67" s="5">
        <v>72</v>
      </c>
      <c r="L67" s="5">
        <v>72</v>
      </c>
      <c r="M67" s="5">
        <v>56</v>
      </c>
      <c r="N67" s="3">
        <f>(K67+M67)/16</f>
        <v>8</v>
      </c>
      <c r="O67" s="21" t="s">
        <v>35</v>
      </c>
      <c r="P67" s="25" t="s">
        <v>323</v>
      </c>
      <c r="Q67" s="25" t="s">
        <v>324</v>
      </c>
      <c r="V67" s="63" t="s">
        <v>311</v>
      </c>
      <c r="W67" s="64" t="s">
        <v>110</v>
      </c>
      <c r="X67" s="63" t="s">
        <v>148</v>
      </c>
      <c r="Y67" s="64" t="s">
        <v>204</v>
      </c>
      <c r="Z67" s="63" t="s">
        <v>311</v>
      </c>
      <c r="AA67" s="64" t="s">
        <v>56</v>
      </c>
    </row>
    <row r="68" spans="1:27" ht="12.75" customHeight="1">
      <c r="A68" s="2" t="s">
        <v>325</v>
      </c>
      <c r="B68" s="4" t="s">
        <v>29</v>
      </c>
      <c r="C68" s="6" t="s">
        <v>42</v>
      </c>
      <c r="D68" s="20" t="s">
        <v>308</v>
      </c>
      <c r="E68" s="10">
        <v>84</v>
      </c>
      <c r="G68" s="4" t="s">
        <v>67</v>
      </c>
      <c r="H68" s="3">
        <v>3</v>
      </c>
      <c r="I68" s="2">
        <v>4.5</v>
      </c>
      <c r="J68" s="3" t="s">
        <v>209</v>
      </c>
      <c r="K68" s="5">
        <v>72</v>
      </c>
      <c r="L68" s="5">
        <v>72</v>
      </c>
      <c r="M68" s="5">
        <v>56</v>
      </c>
      <c r="N68" s="3">
        <v>8</v>
      </c>
      <c r="O68" s="21" t="s">
        <v>68</v>
      </c>
      <c r="P68" s="25" t="s">
        <v>326</v>
      </c>
      <c r="Q68" s="25" t="s">
        <v>327</v>
      </c>
      <c r="T68" s="63" t="s">
        <v>210</v>
      </c>
      <c r="U68" s="64" t="s">
        <v>56</v>
      </c>
      <c r="V68" s="63" t="s">
        <v>121</v>
      </c>
      <c r="W68" s="64" t="s">
        <v>40</v>
      </c>
      <c r="Z68" s="63" t="s">
        <v>177</v>
      </c>
      <c r="AA68" s="64" t="s">
        <v>97</v>
      </c>
    </row>
    <row r="69" spans="1:27" ht="13.5">
      <c r="A69" s="2" t="s">
        <v>328</v>
      </c>
      <c r="B69" s="4" t="s">
        <v>29</v>
      </c>
      <c r="C69" s="6" t="s">
        <v>42</v>
      </c>
      <c r="D69" s="20" t="s">
        <v>329</v>
      </c>
      <c r="E69" s="10">
        <v>85</v>
      </c>
      <c r="F69" s="3">
        <v>1</v>
      </c>
      <c r="G69" s="4" t="s">
        <v>106</v>
      </c>
      <c r="H69" s="24">
        <v>3</v>
      </c>
      <c r="I69" s="2">
        <v>4.5</v>
      </c>
      <c r="J69" s="3" t="s">
        <v>34</v>
      </c>
      <c r="K69" s="5">
        <v>72</v>
      </c>
      <c r="L69" s="5">
        <v>72</v>
      </c>
      <c r="M69" s="5">
        <v>72</v>
      </c>
      <c r="N69" s="3">
        <f>(K69+M69)/16</f>
        <v>9</v>
      </c>
      <c r="O69" s="21" t="s">
        <v>35</v>
      </c>
      <c r="P69" s="25" t="s">
        <v>299</v>
      </c>
      <c r="Q69" s="25" t="s">
        <v>300</v>
      </c>
      <c r="R69" s="63" t="s">
        <v>121</v>
      </c>
      <c r="S69" s="64" t="s">
        <v>97</v>
      </c>
      <c r="T69" s="63" t="s">
        <v>124</v>
      </c>
      <c r="U69" s="64" t="s">
        <v>172</v>
      </c>
      <c r="X69" s="63" t="s">
        <v>124</v>
      </c>
      <c r="Y69" s="64" t="s">
        <v>162</v>
      </c>
    </row>
    <row r="70" spans="1:27" ht="13.5">
      <c r="A70" s="2" t="s">
        <v>330</v>
      </c>
      <c r="B70" s="4" t="s">
        <v>29</v>
      </c>
      <c r="C70" s="6" t="s">
        <v>42</v>
      </c>
      <c r="D70" s="20" t="s">
        <v>329</v>
      </c>
      <c r="E70" s="10">
        <v>85</v>
      </c>
      <c r="F70" s="3">
        <v>2</v>
      </c>
      <c r="G70" s="4" t="s">
        <v>106</v>
      </c>
      <c r="H70" s="24">
        <v>3</v>
      </c>
      <c r="I70" s="2">
        <v>4.5</v>
      </c>
      <c r="J70" s="3" t="s">
        <v>34</v>
      </c>
      <c r="K70" s="5">
        <v>72</v>
      </c>
      <c r="L70" s="5">
        <v>72</v>
      </c>
      <c r="M70" s="5">
        <v>72</v>
      </c>
      <c r="N70" s="3">
        <f>(K70+M70)/16</f>
        <v>9</v>
      </c>
      <c r="O70" s="21" t="s">
        <v>35</v>
      </c>
      <c r="P70" s="25" t="s">
        <v>305</v>
      </c>
      <c r="Q70" s="25" t="s">
        <v>306</v>
      </c>
      <c r="R70" s="63" t="s">
        <v>121</v>
      </c>
      <c r="S70" s="64" t="s">
        <v>162</v>
      </c>
      <c r="T70" s="63" t="s">
        <v>124</v>
      </c>
      <c r="U70" s="64" t="s">
        <v>50</v>
      </c>
      <c r="X70" s="63" t="s">
        <v>124</v>
      </c>
      <c r="Y70" s="64" t="s">
        <v>40</v>
      </c>
    </row>
    <row r="71" spans="1:27" ht="24" customHeight="1">
      <c r="A71" s="2" t="s">
        <v>331</v>
      </c>
      <c r="B71" s="4" t="s">
        <v>29</v>
      </c>
      <c r="C71" s="6" t="s">
        <v>42</v>
      </c>
      <c r="D71" s="20" t="s">
        <v>329</v>
      </c>
      <c r="E71" s="10">
        <v>85</v>
      </c>
      <c r="F71" s="3">
        <v>3</v>
      </c>
      <c r="G71" s="4" t="s">
        <v>106</v>
      </c>
      <c r="H71" s="24">
        <v>3</v>
      </c>
      <c r="I71" s="2">
        <v>4.5</v>
      </c>
      <c r="J71" s="3" t="s">
        <v>34</v>
      </c>
      <c r="K71" s="5">
        <v>72</v>
      </c>
      <c r="L71" s="5">
        <v>72</v>
      </c>
      <c r="M71" s="5">
        <v>72</v>
      </c>
      <c r="N71" s="3">
        <f>(K71+M71)/16</f>
        <v>9</v>
      </c>
      <c r="O71" s="21" t="s">
        <v>35</v>
      </c>
      <c r="P71" s="25" t="s">
        <v>192</v>
      </c>
      <c r="Q71" s="25" t="s">
        <v>193</v>
      </c>
      <c r="R71" s="63" t="s">
        <v>121</v>
      </c>
      <c r="S71" s="64" t="s">
        <v>332</v>
      </c>
      <c r="T71" s="63" t="s">
        <v>124</v>
      </c>
      <c r="U71" s="64" t="s">
        <v>97</v>
      </c>
      <c r="X71" s="63" t="s">
        <v>333</v>
      </c>
      <c r="Y71" s="64" t="s">
        <v>97</v>
      </c>
    </row>
    <row r="72" spans="1:27" ht="13.5">
      <c r="A72" s="2" t="s">
        <v>334</v>
      </c>
      <c r="B72" s="4" t="s">
        <v>29</v>
      </c>
      <c r="C72" s="1" t="s">
        <v>42</v>
      </c>
      <c r="D72" s="7" t="s">
        <v>335</v>
      </c>
      <c r="E72" s="10">
        <v>88</v>
      </c>
      <c r="G72" s="4" t="s">
        <v>106</v>
      </c>
      <c r="H72" s="3">
        <v>2</v>
      </c>
      <c r="I72" s="2">
        <v>6</v>
      </c>
      <c r="J72" s="3" t="s">
        <v>93</v>
      </c>
      <c r="K72" s="5">
        <v>96</v>
      </c>
      <c r="L72" s="5">
        <v>96</v>
      </c>
      <c r="M72" s="5">
        <v>80</v>
      </c>
      <c r="N72" s="3">
        <f>(L72+M72)/16</f>
        <v>11</v>
      </c>
      <c r="O72" s="3" t="s">
        <v>35</v>
      </c>
      <c r="P72" s="2" t="s">
        <v>87</v>
      </c>
      <c r="Q72" s="2" t="s">
        <v>88</v>
      </c>
      <c r="R72" s="63" t="s">
        <v>72</v>
      </c>
      <c r="S72" s="64" t="s">
        <v>50</v>
      </c>
      <c r="V72" s="63" t="s">
        <v>72</v>
      </c>
      <c r="W72" s="64" t="s">
        <v>172</v>
      </c>
      <c r="X72" s="63" t="s">
        <v>72</v>
      </c>
      <c r="Y72" s="64" t="s">
        <v>332</v>
      </c>
      <c r="Z72" s="63" t="s">
        <v>72</v>
      </c>
      <c r="AA72" s="64" t="s">
        <v>73</v>
      </c>
    </row>
    <row r="73" spans="1:27" ht="13.5">
      <c r="A73" s="2" t="s">
        <v>336</v>
      </c>
      <c r="B73" s="4" t="s">
        <v>29</v>
      </c>
      <c r="C73" s="1" t="s">
        <v>42</v>
      </c>
      <c r="D73" s="7" t="s">
        <v>337</v>
      </c>
      <c r="E73" s="10">
        <v>89</v>
      </c>
      <c r="G73" s="4" t="s">
        <v>338</v>
      </c>
      <c r="H73" s="3">
        <v>4</v>
      </c>
      <c r="I73" s="2">
        <v>2.5</v>
      </c>
      <c r="J73" s="3" t="s">
        <v>86</v>
      </c>
      <c r="K73" s="5">
        <f>L73/2</f>
        <v>36</v>
      </c>
      <c r="L73" s="5">
        <v>72</v>
      </c>
      <c r="M73" s="5">
        <v>56</v>
      </c>
      <c r="N73" s="3">
        <f>(L73+M73)/16</f>
        <v>8</v>
      </c>
      <c r="O73" s="3" t="s">
        <v>35</v>
      </c>
      <c r="P73" s="2" t="s">
        <v>317</v>
      </c>
      <c r="Q73" s="7" t="s">
        <v>318</v>
      </c>
      <c r="R73" s="63" t="s">
        <v>134</v>
      </c>
      <c r="S73" s="64" t="s">
        <v>64</v>
      </c>
    </row>
    <row r="74" spans="1:27" ht="27">
      <c r="A74" s="2" t="s">
        <v>339</v>
      </c>
      <c r="B74" s="4" t="s">
        <v>29</v>
      </c>
      <c r="C74" s="6" t="s">
        <v>42</v>
      </c>
      <c r="D74" s="20" t="s">
        <v>340</v>
      </c>
      <c r="E74" s="10">
        <v>90</v>
      </c>
      <c r="G74" s="4" t="s">
        <v>133</v>
      </c>
      <c r="H74" s="3">
        <v>5</v>
      </c>
      <c r="I74" s="18">
        <v>4.5</v>
      </c>
      <c r="J74" s="3" t="s">
        <v>34</v>
      </c>
      <c r="K74" s="5">
        <v>72</v>
      </c>
      <c r="L74" s="5">
        <v>72</v>
      </c>
      <c r="M74" s="5">
        <v>56</v>
      </c>
      <c r="N74" s="3">
        <f>(K74+M74)/16</f>
        <v>8</v>
      </c>
      <c r="O74" s="21" t="s">
        <v>35</v>
      </c>
      <c r="P74" s="6" t="s">
        <v>262</v>
      </c>
      <c r="Q74" s="6" t="s">
        <v>263</v>
      </c>
      <c r="R74" s="63" t="s">
        <v>249</v>
      </c>
      <c r="S74" s="64" t="s">
        <v>341</v>
      </c>
      <c r="X74" s="63" t="s">
        <v>237</v>
      </c>
      <c r="Y74" s="2" t="s">
        <v>342</v>
      </c>
      <c r="Z74" s="63" t="s">
        <v>237</v>
      </c>
      <c r="AA74" s="2" t="s">
        <v>341</v>
      </c>
    </row>
    <row r="75" spans="1:27" ht="27">
      <c r="A75" s="2" t="s">
        <v>343</v>
      </c>
      <c r="B75" s="4" t="s">
        <v>29</v>
      </c>
      <c r="C75" s="1" t="s">
        <v>42</v>
      </c>
      <c r="D75" s="7" t="s">
        <v>344</v>
      </c>
      <c r="E75" s="10">
        <v>91</v>
      </c>
      <c r="G75" s="4" t="s">
        <v>133</v>
      </c>
      <c r="H75" s="3">
        <v>6</v>
      </c>
      <c r="I75" s="2">
        <v>2.5</v>
      </c>
      <c r="J75" s="3" t="s">
        <v>86</v>
      </c>
      <c r="K75" s="5">
        <f>L75/2</f>
        <v>36</v>
      </c>
      <c r="L75" s="5">
        <v>72</v>
      </c>
      <c r="M75" s="5">
        <v>56</v>
      </c>
      <c r="N75" s="3">
        <f>(L75+M75)/16</f>
        <v>8</v>
      </c>
      <c r="O75" s="3" t="s">
        <v>35</v>
      </c>
      <c r="P75" s="2" t="s">
        <v>247</v>
      </c>
      <c r="Q75" s="2" t="s">
        <v>248</v>
      </c>
      <c r="T75" s="63" t="s">
        <v>345</v>
      </c>
      <c r="U75" s="64" t="s">
        <v>342</v>
      </c>
    </row>
    <row r="76" spans="1:27">
      <c r="A76" s="2" t="s">
        <v>346</v>
      </c>
      <c r="B76" s="4" t="s">
        <v>29</v>
      </c>
      <c r="C76" s="6" t="s">
        <v>42</v>
      </c>
      <c r="D76" s="20" t="s">
        <v>347</v>
      </c>
      <c r="E76" s="10">
        <v>92</v>
      </c>
      <c r="G76" s="4" t="s">
        <v>67</v>
      </c>
      <c r="H76" s="3">
        <v>1</v>
      </c>
      <c r="I76" s="2">
        <v>2</v>
      </c>
      <c r="J76" s="3" t="s">
        <v>209</v>
      </c>
      <c r="K76" s="5">
        <v>32</v>
      </c>
      <c r="L76" s="5">
        <v>32</v>
      </c>
      <c r="M76" s="5">
        <v>32</v>
      </c>
      <c r="N76" s="3">
        <v>4</v>
      </c>
      <c r="O76" s="21" t="s">
        <v>68</v>
      </c>
      <c r="P76" s="1" t="s">
        <v>348</v>
      </c>
      <c r="Q76" s="1" t="s">
        <v>349</v>
      </c>
    </row>
    <row r="77" spans="1:27" ht="13.5">
      <c r="A77" s="2" t="s">
        <v>350</v>
      </c>
      <c r="B77" s="4" t="s">
        <v>29</v>
      </c>
      <c r="C77" s="6" t="s">
        <v>42</v>
      </c>
      <c r="D77" s="7" t="s">
        <v>351</v>
      </c>
      <c r="E77" s="10">
        <v>93</v>
      </c>
      <c r="F77" s="3">
        <v>1</v>
      </c>
      <c r="G77" s="4" t="s">
        <v>44</v>
      </c>
      <c r="H77" s="3">
        <v>5</v>
      </c>
      <c r="I77" s="18">
        <v>4.5</v>
      </c>
      <c r="J77" s="3" t="s">
        <v>34</v>
      </c>
      <c r="K77" s="5">
        <v>72</v>
      </c>
      <c r="L77" s="5">
        <v>72</v>
      </c>
      <c r="M77" s="5">
        <v>40</v>
      </c>
      <c r="N77" s="3">
        <f>(K77+M77)/16</f>
        <v>7</v>
      </c>
      <c r="O77" s="3" t="s">
        <v>35</v>
      </c>
      <c r="P77" s="1" t="s">
        <v>352</v>
      </c>
      <c r="Q77" s="1" t="s">
        <v>353</v>
      </c>
      <c r="R77" s="63" t="s">
        <v>354</v>
      </c>
      <c r="S77" s="64" t="s">
        <v>172</v>
      </c>
      <c r="T77" s="63" t="s">
        <v>82</v>
      </c>
      <c r="U77" s="64" t="s">
        <v>226</v>
      </c>
      <c r="V77" s="63" t="s">
        <v>249</v>
      </c>
      <c r="W77" s="64" t="s">
        <v>97</v>
      </c>
    </row>
    <row r="78" spans="1:27" ht="13.5">
      <c r="A78" s="2" t="s">
        <v>355</v>
      </c>
      <c r="B78" s="4" t="s">
        <v>29</v>
      </c>
      <c r="C78" s="6" t="s">
        <v>42</v>
      </c>
      <c r="D78" s="7" t="s">
        <v>351</v>
      </c>
      <c r="E78" s="10">
        <v>93</v>
      </c>
      <c r="F78" s="3">
        <v>2</v>
      </c>
      <c r="G78" s="4" t="s">
        <v>44</v>
      </c>
      <c r="H78" s="3">
        <v>5</v>
      </c>
      <c r="I78" s="18">
        <v>4.5</v>
      </c>
      <c r="J78" s="3" t="s">
        <v>34</v>
      </c>
      <c r="K78" s="5">
        <v>72</v>
      </c>
      <c r="L78" s="5">
        <v>72</v>
      </c>
      <c r="M78" s="5">
        <v>40</v>
      </c>
      <c r="N78" s="3">
        <f>(K78+M78)/16</f>
        <v>7</v>
      </c>
      <c r="O78" s="3" t="s">
        <v>35</v>
      </c>
      <c r="P78" s="1" t="s">
        <v>356</v>
      </c>
      <c r="Q78" s="2" t="s">
        <v>357</v>
      </c>
      <c r="R78" s="63" t="s">
        <v>358</v>
      </c>
      <c r="S78" s="64" t="s">
        <v>204</v>
      </c>
      <c r="T78" s="63" t="s">
        <v>152</v>
      </c>
      <c r="U78" s="64" t="s">
        <v>257</v>
      </c>
      <c r="X78" s="63" t="s">
        <v>82</v>
      </c>
      <c r="Y78" s="64" t="s">
        <v>162</v>
      </c>
    </row>
    <row r="79" spans="1:27" ht="13.5">
      <c r="A79" s="2" t="s">
        <v>359</v>
      </c>
      <c r="B79" s="4" t="s">
        <v>29</v>
      </c>
      <c r="C79" s="6" t="s">
        <v>42</v>
      </c>
      <c r="D79" s="7" t="s">
        <v>351</v>
      </c>
      <c r="E79" s="10">
        <v>93</v>
      </c>
      <c r="F79" s="3">
        <v>3</v>
      </c>
      <c r="G79" s="4" t="s">
        <v>44</v>
      </c>
      <c r="H79" s="3">
        <v>5</v>
      </c>
      <c r="I79" s="18">
        <v>4.5</v>
      </c>
      <c r="J79" s="3" t="s">
        <v>34</v>
      </c>
      <c r="K79" s="5">
        <v>72</v>
      </c>
      <c r="L79" s="5">
        <v>72</v>
      </c>
      <c r="M79" s="5">
        <v>40</v>
      </c>
      <c r="N79" s="3">
        <f>(K79+M79)/16</f>
        <v>7</v>
      </c>
      <c r="O79" s="3" t="s">
        <v>35</v>
      </c>
      <c r="P79" s="11" t="s">
        <v>360</v>
      </c>
      <c r="Q79" s="1" t="s">
        <v>361</v>
      </c>
      <c r="T79" s="63" t="s">
        <v>71</v>
      </c>
      <c r="U79" s="64" t="s">
        <v>257</v>
      </c>
      <c r="V79" s="63" t="s">
        <v>272</v>
      </c>
      <c r="W79" s="64" t="s">
        <v>64</v>
      </c>
      <c r="Z79" s="63" t="s">
        <v>249</v>
      </c>
      <c r="AA79" s="64" t="s">
        <v>64</v>
      </c>
    </row>
    <row r="80" spans="1:27" ht="13.5">
      <c r="A80" s="2" t="s">
        <v>362</v>
      </c>
      <c r="B80" s="4" t="s">
        <v>29</v>
      </c>
      <c r="C80" s="6" t="s">
        <v>42</v>
      </c>
      <c r="D80" s="20" t="s">
        <v>363</v>
      </c>
      <c r="E80" s="10">
        <v>96</v>
      </c>
      <c r="F80" s="3">
        <v>1</v>
      </c>
      <c r="G80" s="4" t="s">
        <v>364</v>
      </c>
      <c r="H80" s="3">
        <v>1</v>
      </c>
      <c r="I80" s="2">
        <v>3</v>
      </c>
      <c r="J80" s="3" t="s">
        <v>34</v>
      </c>
      <c r="K80" s="5">
        <v>48</v>
      </c>
      <c r="L80" s="23">
        <v>48</v>
      </c>
      <c r="M80" s="23">
        <v>48</v>
      </c>
      <c r="N80" s="4">
        <v>6</v>
      </c>
      <c r="O80" s="7" t="s">
        <v>176</v>
      </c>
      <c r="P80" s="1" t="s">
        <v>365</v>
      </c>
      <c r="Q80" s="1" t="s">
        <v>366</v>
      </c>
      <c r="R80" s="63" t="s">
        <v>159</v>
      </c>
      <c r="S80" s="64" t="s">
        <v>162</v>
      </c>
      <c r="T80" s="63" t="s">
        <v>121</v>
      </c>
      <c r="U80" s="64" t="s">
        <v>48</v>
      </c>
    </row>
    <row r="81" spans="1:27" ht="17.100000000000001" customHeight="1">
      <c r="A81" s="2" t="s">
        <v>367</v>
      </c>
      <c r="B81" s="4" t="s">
        <v>29</v>
      </c>
      <c r="C81" s="6" t="s">
        <v>42</v>
      </c>
      <c r="D81" s="20" t="s">
        <v>363</v>
      </c>
      <c r="E81" s="10">
        <v>96</v>
      </c>
      <c r="F81" s="3">
        <v>2</v>
      </c>
      <c r="G81" s="4" t="s">
        <v>364</v>
      </c>
      <c r="H81" s="3">
        <v>1</v>
      </c>
      <c r="I81" s="2">
        <v>3</v>
      </c>
      <c r="J81" s="3" t="s">
        <v>34</v>
      </c>
      <c r="K81" s="5">
        <v>48</v>
      </c>
      <c r="L81" s="23">
        <v>48</v>
      </c>
      <c r="M81" s="23">
        <v>48</v>
      </c>
      <c r="N81" s="4">
        <v>6</v>
      </c>
      <c r="O81" s="7" t="s">
        <v>176</v>
      </c>
      <c r="P81" s="1" t="s">
        <v>365</v>
      </c>
      <c r="Q81" s="1" t="s">
        <v>366</v>
      </c>
      <c r="R81" s="63" t="s">
        <v>121</v>
      </c>
      <c r="S81" s="64" t="s">
        <v>83</v>
      </c>
      <c r="Z81" s="63" t="s">
        <v>210</v>
      </c>
      <c r="AA81" s="64" t="s">
        <v>111</v>
      </c>
    </row>
    <row r="82" spans="1:27" ht="15" customHeight="1">
      <c r="A82" s="2" t="s">
        <v>368</v>
      </c>
      <c r="B82" s="4" t="s">
        <v>29</v>
      </c>
      <c r="C82" s="6" t="s">
        <v>42</v>
      </c>
      <c r="D82" s="20" t="s">
        <v>363</v>
      </c>
      <c r="E82" s="10">
        <v>96</v>
      </c>
      <c r="F82" s="3">
        <v>3</v>
      </c>
      <c r="G82" s="4" t="s">
        <v>364</v>
      </c>
      <c r="H82" s="3">
        <v>1</v>
      </c>
      <c r="I82" s="2">
        <v>3</v>
      </c>
      <c r="J82" s="3" t="s">
        <v>34</v>
      </c>
      <c r="K82" s="5">
        <v>48</v>
      </c>
      <c r="L82" s="23">
        <v>48</v>
      </c>
      <c r="M82" s="23">
        <v>48</v>
      </c>
      <c r="N82" s="4">
        <v>6</v>
      </c>
      <c r="O82" s="7" t="s">
        <v>176</v>
      </c>
      <c r="P82" s="1" t="s">
        <v>365</v>
      </c>
      <c r="Q82" s="1" t="s">
        <v>366</v>
      </c>
      <c r="T82" s="63" t="s">
        <v>159</v>
      </c>
      <c r="U82" s="64" t="s">
        <v>118</v>
      </c>
      <c r="Z82" s="63" t="s">
        <v>148</v>
      </c>
      <c r="AA82" s="64" t="s">
        <v>64</v>
      </c>
    </row>
    <row r="83" spans="1:27" ht="12" customHeight="1">
      <c r="A83" s="2" t="s">
        <v>369</v>
      </c>
      <c r="B83" s="4" t="s">
        <v>29</v>
      </c>
      <c r="C83" s="1" t="s">
        <v>42</v>
      </c>
      <c r="D83" s="7" t="s">
        <v>370</v>
      </c>
      <c r="E83" s="10">
        <v>99</v>
      </c>
      <c r="G83" s="4" t="s">
        <v>133</v>
      </c>
      <c r="H83" s="3">
        <v>8</v>
      </c>
      <c r="I83" s="2">
        <v>2.5</v>
      </c>
      <c r="J83" s="3" t="s">
        <v>86</v>
      </c>
      <c r="K83" s="5">
        <f>L83/2</f>
        <v>36</v>
      </c>
      <c r="L83" s="5">
        <v>72</v>
      </c>
      <c r="M83" s="5">
        <v>56</v>
      </c>
      <c r="N83" s="3">
        <f>(L83+M83)/16</f>
        <v>8</v>
      </c>
      <c r="O83" s="3" t="s">
        <v>35</v>
      </c>
      <c r="P83" s="1" t="s">
        <v>371</v>
      </c>
      <c r="Q83" s="2" t="s">
        <v>372</v>
      </c>
      <c r="X83" s="63" t="s">
        <v>373</v>
      </c>
      <c r="Y83" s="64" t="s">
        <v>342</v>
      </c>
    </row>
    <row r="84" spans="1:27" ht="17.100000000000001" customHeight="1">
      <c r="A84" s="2" t="s">
        <v>374</v>
      </c>
      <c r="B84" s="4" t="s">
        <v>29</v>
      </c>
      <c r="C84" s="6" t="s">
        <v>42</v>
      </c>
      <c r="D84" s="20" t="s">
        <v>375</v>
      </c>
      <c r="E84" s="10">
        <v>100</v>
      </c>
      <c r="G84" s="4" t="s">
        <v>67</v>
      </c>
      <c r="H84" s="3">
        <v>3</v>
      </c>
      <c r="I84" s="2">
        <v>2</v>
      </c>
      <c r="J84" s="3" t="s">
        <v>209</v>
      </c>
      <c r="K84" s="5">
        <v>32</v>
      </c>
      <c r="L84" s="5">
        <v>32</v>
      </c>
      <c r="M84" s="5">
        <v>32</v>
      </c>
      <c r="N84" s="3">
        <v>4</v>
      </c>
      <c r="O84" s="21" t="s">
        <v>68</v>
      </c>
      <c r="P84" s="2" t="s">
        <v>348</v>
      </c>
      <c r="Q84" s="1" t="s">
        <v>349</v>
      </c>
    </row>
    <row r="85" spans="1:27" ht="15" customHeight="1">
      <c r="A85" s="2" t="s">
        <v>376</v>
      </c>
      <c r="B85" s="4" t="s">
        <v>29</v>
      </c>
      <c r="C85" s="1" t="s">
        <v>42</v>
      </c>
      <c r="D85" s="7" t="s">
        <v>377</v>
      </c>
      <c r="E85" s="10">
        <v>101</v>
      </c>
      <c r="G85" s="4" t="s">
        <v>378</v>
      </c>
      <c r="H85" s="3">
        <v>2</v>
      </c>
      <c r="I85" s="2">
        <v>1.5</v>
      </c>
      <c r="J85" s="3" t="s">
        <v>93</v>
      </c>
      <c r="K85" s="5">
        <f>L85/2</f>
        <v>24</v>
      </c>
      <c r="L85" s="5">
        <v>48</v>
      </c>
      <c r="M85" s="5">
        <v>48</v>
      </c>
      <c r="N85" s="3">
        <f>(L85+M85)/16</f>
        <v>6</v>
      </c>
      <c r="O85" s="3" t="s">
        <v>35</v>
      </c>
      <c r="P85" s="7" t="s">
        <v>348</v>
      </c>
      <c r="Q85" s="1" t="s">
        <v>349</v>
      </c>
    </row>
    <row r="86" spans="1:27" ht="17.100000000000001" customHeight="1">
      <c r="A86" s="2" t="s">
        <v>379</v>
      </c>
      <c r="B86" s="4" t="s">
        <v>29</v>
      </c>
      <c r="C86" s="6" t="s">
        <v>42</v>
      </c>
      <c r="D86" s="7" t="s">
        <v>380</v>
      </c>
      <c r="E86" s="10">
        <v>102</v>
      </c>
      <c r="F86" s="3">
        <v>1</v>
      </c>
      <c r="G86" s="4" t="s">
        <v>44</v>
      </c>
      <c r="H86" s="3">
        <v>5</v>
      </c>
      <c r="I86" s="2">
        <v>4.5</v>
      </c>
      <c r="J86" s="3" t="s">
        <v>34</v>
      </c>
      <c r="K86" s="5">
        <v>72</v>
      </c>
      <c r="L86" s="5">
        <v>72</v>
      </c>
      <c r="M86" s="5">
        <v>40</v>
      </c>
      <c r="N86" s="3">
        <f>(K86+M86)/16</f>
        <v>7</v>
      </c>
      <c r="O86" s="3" t="s">
        <v>35</v>
      </c>
      <c r="P86" s="1" t="s">
        <v>266</v>
      </c>
      <c r="Q86" s="2" t="s">
        <v>267</v>
      </c>
      <c r="T86" s="63" t="s">
        <v>124</v>
      </c>
      <c r="U86" s="64" t="s">
        <v>226</v>
      </c>
      <c r="V86" s="63" t="s">
        <v>152</v>
      </c>
      <c r="W86" s="64" t="s">
        <v>226</v>
      </c>
      <c r="X86" s="63" t="s">
        <v>268</v>
      </c>
      <c r="Y86" s="64" t="s">
        <v>226</v>
      </c>
    </row>
    <row r="87" spans="1:27" ht="15.6" customHeight="1">
      <c r="A87" s="2" t="s">
        <v>381</v>
      </c>
      <c r="B87" s="4" t="s">
        <v>29</v>
      </c>
      <c r="C87" s="6" t="s">
        <v>42</v>
      </c>
      <c r="D87" s="7" t="s">
        <v>380</v>
      </c>
      <c r="E87" s="10">
        <v>102</v>
      </c>
      <c r="F87" s="3">
        <v>2</v>
      </c>
      <c r="G87" s="4" t="s">
        <v>44</v>
      </c>
      <c r="H87" s="3">
        <v>5</v>
      </c>
      <c r="I87" s="2">
        <v>4.5</v>
      </c>
      <c r="J87" s="3" t="s">
        <v>34</v>
      </c>
      <c r="K87" s="5">
        <v>72</v>
      </c>
      <c r="L87" s="5">
        <v>72</v>
      </c>
      <c r="M87" s="5">
        <v>40</v>
      </c>
      <c r="N87" s="3">
        <f>(K87+M87)/16</f>
        <v>7</v>
      </c>
      <c r="O87" s="3" t="s">
        <v>35</v>
      </c>
      <c r="P87" s="1" t="s">
        <v>241</v>
      </c>
      <c r="Q87" s="2" t="s">
        <v>242</v>
      </c>
      <c r="T87" s="63" t="s">
        <v>124</v>
      </c>
      <c r="U87" s="64" t="s">
        <v>257</v>
      </c>
      <c r="V87" s="63" t="s">
        <v>152</v>
      </c>
      <c r="W87" s="64" t="s">
        <v>257</v>
      </c>
      <c r="X87" s="63" t="s">
        <v>268</v>
      </c>
      <c r="Y87" s="64" t="s">
        <v>257</v>
      </c>
    </row>
    <row r="88" spans="1:27" ht="13.5">
      <c r="A88" s="2" t="s">
        <v>382</v>
      </c>
      <c r="B88" s="4" t="s">
        <v>29</v>
      </c>
      <c r="C88" s="6" t="s">
        <v>42</v>
      </c>
      <c r="D88" s="7" t="s">
        <v>380</v>
      </c>
      <c r="E88" s="10">
        <v>102</v>
      </c>
      <c r="F88" s="3">
        <v>3</v>
      </c>
      <c r="G88" s="4" t="s">
        <v>44</v>
      </c>
      <c r="H88" s="3">
        <v>5</v>
      </c>
      <c r="I88" s="2">
        <v>4.5</v>
      </c>
      <c r="J88" s="3" t="s">
        <v>34</v>
      </c>
      <c r="K88" s="5">
        <v>72</v>
      </c>
      <c r="L88" s="5">
        <v>72</v>
      </c>
      <c r="M88" s="5">
        <v>40</v>
      </c>
      <c r="N88" s="3">
        <f>(K88+M88)/16</f>
        <v>7</v>
      </c>
      <c r="O88" s="3" t="s">
        <v>35</v>
      </c>
      <c r="P88" s="1" t="s">
        <v>383</v>
      </c>
      <c r="Q88" s="2" t="s">
        <v>384</v>
      </c>
      <c r="T88" s="63" t="s">
        <v>124</v>
      </c>
      <c r="U88" s="64" t="s">
        <v>216</v>
      </c>
      <c r="V88" s="63" t="s">
        <v>152</v>
      </c>
      <c r="W88" s="64" t="s">
        <v>216</v>
      </c>
      <c r="X88" s="63" t="s">
        <v>268</v>
      </c>
      <c r="Y88" s="64" t="s">
        <v>216</v>
      </c>
    </row>
    <row r="89" spans="1:27" ht="17.100000000000001" customHeight="1">
      <c r="A89" s="2" t="s">
        <v>385</v>
      </c>
      <c r="B89" s="4" t="s">
        <v>29</v>
      </c>
      <c r="C89" s="6" t="s">
        <v>42</v>
      </c>
      <c r="D89" s="7" t="s">
        <v>386</v>
      </c>
      <c r="E89" s="10">
        <v>105</v>
      </c>
      <c r="G89" s="4" t="s">
        <v>133</v>
      </c>
      <c r="H89" s="3">
        <v>4</v>
      </c>
      <c r="I89" s="2">
        <v>2.5</v>
      </c>
      <c r="J89" s="3" t="s">
        <v>86</v>
      </c>
      <c r="K89" s="5">
        <v>36</v>
      </c>
      <c r="L89" s="5">
        <v>72</v>
      </c>
      <c r="M89" s="5">
        <v>56</v>
      </c>
      <c r="N89" s="8">
        <v>8</v>
      </c>
      <c r="O89" s="3" t="s">
        <v>35</v>
      </c>
      <c r="P89" s="1" t="s">
        <v>387</v>
      </c>
      <c r="Q89" s="2" t="s">
        <v>388</v>
      </c>
      <c r="T89" s="63" t="s">
        <v>169</v>
      </c>
      <c r="U89" s="64" t="s">
        <v>50</v>
      </c>
    </row>
    <row r="90" spans="1:27" ht="17.100000000000001" customHeight="1">
      <c r="A90" s="2" t="s">
        <v>389</v>
      </c>
      <c r="B90" s="4" t="s">
        <v>29</v>
      </c>
      <c r="C90" s="6" t="s">
        <v>42</v>
      </c>
      <c r="D90" s="7" t="s">
        <v>390</v>
      </c>
      <c r="E90" s="10">
        <v>106</v>
      </c>
      <c r="G90" s="4" t="s">
        <v>59</v>
      </c>
      <c r="H90" s="3">
        <v>7</v>
      </c>
      <c r="I90" s="2">
        <v>4.5</v>
      </c>
      <c r="J90" s="3" t="s">
        <v>93</v>
      </c>
      <c r="K90" s="5">
        <v>72</v>
      </c>
      <c r="L90" s="5">
        <v>72</v>
      </c>
      <c r="M90" s="5">
        <v>40</v>
      </c>
      <c r="N90" s="3">
        <f>(K90+M90)/16</f>
        <v>7</v>
      </c>
      <c r="O90" s="3" t="s">
        <v>35</v>
      </c>
      <c r="P90" s="1" t="s">
        <v>241</v>
      </c>
      <c r="Q90" s="2" t="s">
        <v>242</v>
      </c>
      <c r="R90" s="63" t="s">
        <v>154</v>
      </c>
      <c r="S90" s="64" t="s">
        <v>216</v>
      </c>
      <c r="V90" s="63" t="s">
        <v>71</v>
      </c>
      <c r="W90" s="64" t="s">
        <v>216</v>
      </c>
      <c r="X90" s="63" t="s">
        <v>333</v>
      </c>
      <c r="Y90" s="64" t="s">
        <v>216</v>
      </c>
    </row>
    <row r="91" spans="1:27" ht="23.85" customHeight="1">
      <c r="A91" s="2" t="s">
        <v>391</v>
      </c>
      <c r="B91" s="4" t="s">
        <v>29</v>
      </c>
      <c r="C91" s="6" t="s">
        <v>42</v>
      </c>
      <c r="D91" s="20" t="s">
        <v>392</v>
      </c>
      <c r="E91" s="10">
        <v>107</v>
      </c>
      <c r="G91" s="4" t="s">
        <v>137</v>
      </c>
      <c r="H91" s="3">
        <v>1</v>
      </c>
      <c r="I91" s="2">
        <v>5</v>
      </c>
      <c r="J91" s="3" t="s">
        <v>93</v>
      </c>
      <c r="K91" s="5">
        <v>80</v>
      </c>
      <c r="L91" s="5">
        <v>80</v>
      </c>
      <c r="M91" s="5">
        <v>80</v>
      </c>
      <c r="N91" s="3">
        <f>(K91+M91)/16</f>
        <v>10</v>
      </c>
      <c r="O91" s="21" t="s">
        <v>35</v>
      </c>
      <c r="P91" s="1" t="s">
        <v>393</v>
      </c>
      <c r="Q91" s="2" t="s">
        <v>394</v>
      </c>
      <c r="R91" s="63" t="s">
        <v>395</v>
      </c>
      <c r="S91" s="64" t="s">
        <v>162</v>
      </c>
      <c r="V91" s="63" t="s">
        <v>102</v>
      </c>
      <c r="W91" s="64" t="s">
        <v>204</v>
      </c>
      <c r="X91" s="63" t="s">
        <v>148</v>
      </c>
      <c r="Y91" s="64" t="s">
        <v>50</v>
      </c>
    </row>
    <row r="92" spans="1:27" ht="29.25" customHeight="1">
      <c r="A92" s="2" t="s">
        <v>396</v>
      </c>
      <c r="B92" s="4" t="s">
        <v>29</v>
      </c>
      <c r="C92" s="6" t="s">
        <v>42</v>
      </c>
      <c r="D92" s="7" t="s">
        <v>397</v>
      </c>
      <c r="E92" s="10">
        <v>108</v>
      </c>
      <c r="G92" s="4" t="s">
        <v>137</v>
      </c>
      <c r="H92" s="3">
        <v>4</v>
      </c>
      <c r="I92" s="2">
        <v>2.5</v>
      </c>
      <c r="J92" s="3" t="s">
        <v>86</v>
      </c>
      <c r="K92" s="5">
        <v>40</v>
      </c>
      <c r="L92" s="5">
        <v>80</v>
      </c>
      <c r="M92" s="5">
        <v>80</v>
      </c>
      <c r="N92" s="3">
        <f>(L92+M92)/16</f>
        <v>10</v>
      </c>
      <c r="O92" s="3" t="s">
        <v>35</v>
      </c>
      <c r="P92" s="1" t="s">
        <v>393</v>
      </c>
      <c r="Q92" s="2" t="s">
        <v>394</v>
      </c>
      <c r="Z92" s="63" t="s">
        <v>398</v>
      </c>
      <c r="AA92" s="64" t="s">
        <v>399</v>
      </c>
    </row>
    <row r="93" spans="1:27" ht="29.25" customHeight="1">
      <c r="A93" s="2" t="s">
        <v>400</v>
      </c>
      <c r="B93" s="4" t="s">
        <v>29</v>
      </c>
      <c r="C93" s="6" t="s">
        <v>42</v>
      </c>
      <c r="D93" s="7" t="s">
        <v>401</v>
      </c>
      <c r="E93" s="10">
        <v>109</v>
      </c>
      <c r="F93" s="3">
        <v>1</v>
      </c>
      <c r="G93" s="4" t="s">
        <v>44</v>
      </c>
      <c r="H93" s="3">
        <v>5</v>
      </c>
      <c r="I93" s="18">
        <v>4.5</v>
      </c>
      <c r="J93" s="3" t="s">
        <v>34</v>
      </c>
      <c r="K93" s="5">
        <v>72</v>
      </c>
      <c r="L93" s="5">
        <v>72</v>
      </c>
      <c r="M93" s="5">
        <v>40</v>
      </c>
      <c r="N93" s="3">
        <f>(K93+M93)/16</f>
        <v>7</v>
      </c>
      <c r="O93" s="3" t="s">
        <v>35</v>
      </c>
      <c r="P93" s="1" t="s">
        <v>45</v>
      </c>
      <c r="Q93" s="1" t="s">
        <v>46</v>
      </c>
      <c r="R93" s="63" t="s">
        <v>154</v>
      </c>
      <c r="S93" s="64" t="s">
        <v>215</v>
      </c>
      <c r="X93" s="63" t="s">
        <v>152</v>
      </c>
      <c r="Y93" s="64" t="s">
        <v>204</v>
      </c>
      <c r="Z93" s="63" t="s">
        <v>237</v>
      </c>
      <c r="AA93" s="64" t="s">
        <v>216</v>
      </c>
    </row>
    <row r="94" spans="1:27" ht="27.75" customHeight="1">
      <c r="A94" s="2" t="s">
        <v>402</v>
      </c>
      <c r="B94" s="4" t="s">
        <v>29</v>
      </c>
      <c r="C94" s="6" t="s">
        <v>42</v>
      </c>
      <c r="D94" s="7" t="s">
        <v>401</v>
      </c>
      <c r="E94" s="10">
        <v>109</v>
      </c>
      <c r="F94" s="3">
        <v>2</v>
      </c>
      <c r="G94" s="4" t="s">
        <v>44</v>
      </c>
      <c r="H94" s="3">
        <v>5</v>
      </c>
      <c r="I94" s="18">
        <v>4.5</v>
      </c>
      <c r="J94" s="3" t="s">
        <v>34</v>
      </c>
      <c r="K94" s="5">
        <v>72</v>
      </c>
      <c r="L94" s="5">
        <v>72</v>
      </c>
      <c r="M94" s="5">
        <v>40</v>
      </c>
      <c r="N94" s="3">
        <f>(K94+M94)/16</f>
        <v>7</v>
      </c>
      <c r="O94" s="3" t="s">
        <v>35</v>
      </c>
      <c r="P94" s="1" t="s">
        <v>69</v>
      </c>
      <c r="Q94" s="2" t="s">
        <v>403</v>
      </c>
      <c r="R94" s="63" t="s">
        <v>354</v>
      </c>
      <c r="S94" s="64" t="s">
        <v>204</v>
      </c>
      <c r="V94" s="63" t="s">
        <v>272</v>
      </c>
      <c r="W94" s="64" t="s">
        <v>216</v>
      </c>
      <c r="X94" s="63" t="s">
        <v>154</v>
      </c>
      <c r="Y94" s="64" t="s">
        <v>257</v>
      </c>
    </row>
    <row r="95" spans="1:27" ht="31.5" customHeight="1">
      <c r="A95" s="2" t="s">
        <v>404</v>
      </c>
      <c r="B95" s="4" t="s">
        <v>29</v>
      </c>
      <c r="C95" s="6" t="s">
        <v>42</v>
      </c>
      <c r="D95" s="7" t="s">
        <v>401</v>
      </c>
      <c r="E95" s="10">
        <v>109</v>
      </c>
      <c r="F95" s="3">
        <v>3</v>
      </c>
      <c r="G95" s="4" t="s">
        <v>44</v>
      </c>
      <c r="H95" s="3">
        <v>5</v>
      </c>
      <c r="I95" s="18">
        <v>4.5</v>
      </c>
      <c r="J95" s="3" t="s">
        <v>34</v>
      </c>
      <c r="K95" s="5">
        <v>72</v>
      </c>
      <c r="L95" s="5">
        <v>72</v>
      </c>
      <c r="M95" s="5">
        <v>40</v>
      </c>
      <c r="N95" s="3">
        <f>(K95+M95)/16</f>
        <v>7</v>
      </c>
      <c r="O95" s="3" t="s">
        <v>35</v>
      </c>
      <c r="P95" s="1" t="s">
        <v>241</v>
      </c>
      <c r="Q95" s="1" t="s">
        <v>242</v>
      </c>
      <c r="T95" s="63" t="s">
        <v>276</v>
      </c>
      <c r="U95" s="64" t="s">
        <v>257</v>
      </c>
      <c r="X95" s="63" t="s">
        <v>82</v>
      </c>
      <c r="Y95" s="64" t="s">
        <v>118</v>
      </c>
      <c r="Z95" s="63" t="s">
        <v>358</v>
      </c>
      <c r="AA95" s="64" t="s">
        <v>226</v>
      </c>
    </row>
    <row r="96" spans="1:27" ht="17.100000000000001" customHeight="1">
      <c r="A96" s="2" t="s">
        <v>405</v>
      </c>
      <c r="B96" s="4" t="s">
        <v>29</v>
      </c>
      <c r="C96" s="1" t="s">
        <v>42</v>
      </c>
      <c r="D96" s="7" t="s">
        <v>406</v>
      </c>
      <c r="E96" s="10">
        <v>112</v>
      </c>
      <c r="G96" s="4" t="s">
        <v>44</v>
      </c>
      <c r="H96" s="3">
        <v>4</v>
      </c>
      <c r="I96" s="2">
        <v>2.5</v>
      </c>
      <c r="J96" s="3" t="s">
        <v>86</v>
      </c>
      <c r="K96" s="5">
        <f>L96/2</f>
        <v>36</v>
      </c>
      <c r="L96" s="5">
        <v>72</v>
      </c>
      <c r="M96" s="5">
        <v>40</v>
      </c>
      <c r="N96" s="3">
        <f>(L96+M96)/16</f>
        <v>7</v>
      </c>
      <c r="O96" s="3" t="s">
        <v>35</v>
      </c>
      <c r="P96" s="7" t="s">
        <v>383</v>
      </c>
      <c r="Q96" s="1" t="s">
        <v>384</v>
      </c>
      <c r="V96" s="63" t="s">
        <v>407</v>
      </c>
      <c r="W96" s="64" t="s">
        <v>408</v>
      </c>
    </row>
    <row r="97" spans="1:28" ht="13.5">
      <c r="A97" s="2" t="s">
        <v>409</v>
      </c>
      <c r="B97" s="4" t="s">
        <v>29</v>
      </c>
      <c r="C97" s="6" t="s">
        <v>42</v>
      </c>
      <c r="D97" s="20" t="s">
        <v>410</v>
      </c>
      <c r="E97" s="10">
        <v>113</v>
      </c>
      <c r="G97" s="4" t="s">
        <v>137</v>
      </c>
      <c r="H97" s="3">
        <v>5</v>
      </c>
      <c r="I97" s="2">
        <v>4</v>
      </c>
      <c r="J97" s="3" t="s">
        <v>34</v>
      </c>
      <c r="K97" s="5">
        <v>64</v>
      </c>
      <c r="L97" s="5">
        <v>64</v>
      </c>
      <c r="M97" s="5">
        <v>64</v>
      </c>
      <c r="N97" s="3">
        <f>(K97+M97)/16</f>
        <v>8</v>
      </c>
      <c r="O97" s="21" t="s">
        <v>35</v>
      </c>
      <c r="P97" s="30" t="s">
        <v>309</v>
      </c>
      <c r="Q97" s="1" t="s">
        <v>310</v>
      </c>
      <c r="T97" s="63" t="s">
        <v>47</v>
      </c>
      <c r="U97" s="64" t="s">
        <v>111</v>
      </c>
      <c r="X97" s="63" t="s">
        <v>411</v>
      </c>
      <c r="Y97" s="64" t="s">
        <v>160</v>
      </c>
    </row>
    <row r="98" spans="1:28" ht="13.5">
      <c r="A98" s="2" t="s">
        <v>412</v>
      </c>
      <c r="B98" s="4" t="s">
        <v>29</v>
      </c>
      <c r="C98" s="6" t="s">
        <v>42</v>
      </c>
      <c r="D98" s="7" t="s">
        <v>413</v>
      </c>
      <c r="E98" s="10">
        <v>114</v>
      </c>
      <c r="G98" s="4" t="s">
        <v>59</v>
      </c>
      <c r="H98" s="3">
        <v>5</v>
      </c>
      <c r="I98" s="2">
        <v>4</v>
      </c>
      <c r="J98" s="3" t="s">
        <v>34</v>
      </c>
      <c r="K98" s="5">
        <v>64</v>
      </c>
      <c r="L98" s="5">
        <v>64</v>
      </c>
      <c r="M98" s="5">
        <v>64</v>
      </c>
      <c r="N98" s="3">
        <f>(K98+M98)/16</f>
        <v>8</v>
      </c>
      <c r="O98" s="3" t="s">
        <v>35</v>
      </c>
      <c r="P98" s="1" t="s">
        <v>317</v>
      </c>
      <c r="Q98" s="1" t="s">
        <v>318</v>
      </c>
      <c r="V98" s="63" t="s">
        <v>55</v>
      </c>
      <c r="W98" s="64" t="s">
        <v>122</v>
      </c>
      <c r="Z98" s="63" t="s">
        <v>414</v>
      </c>
      <c r="AA98" s="64" t="s">
        <v>39</v>
      </c>
    </row>
    <row r="99" spans="1:28" ht="13.5">
      <c r="A99" s="2" t="s">
        <v>415</v>
      </c>
      <c r="B99" s="4" t="s">
        <v>29</v>
      </c>
      <c r="C99" s="6" t="s">
        <v>42</v>
      </c>
      <c r="D99" s="7" t="s">
        <v>413</v>
      </c>
      <c r="E99" s="10">
        <v>115</v>
      </c>
      <c r="F99" s="4"/>
      <c r="G99" s="4" t="s">
        <v>137</v>
      </c>
      <c r="H99" s="3">
        <v>5</v>
      </c>
      <c r="I99" s="2">
        <v>4</v>
      </c>
      <c r="J99" s="3" t="s">
        <v>34</v>
      </c>
      <c r="K99" s="5">
        <v>64</v>
      </c>
      <c r="L99" s="5">
        <v>64</v>
      </c>
      <c r="M99" s="5">
        <v>64</v>
      </c>
      <c r="N99" s="3">
        <f>(K99+M99)/16</f>
        <v>8</v>
      </c>
      <c r="O99" s="21" t="s">
        <v>35</v>
      </c>
      <c r="P99" s="2" t="s">
        <v>320</v>
      </c>
      <c r="Q99" s="2" t="s">
        <v>321</v>
      </c>
      <c r="R99" s="63" t="s">
        <v>55</v>
      </c>
      <c r="S99" s="64" t="s">
        <v>111</v>
      </c>
      <c r="X99" s="63" t="s">
        <v>290</v>
      </c>
      <c r="Y99" s="64" t="s">
        <v>122</v>
      </c>
    </row>
    <row r="100" spans="1:28" ht="13.5">
      <c r="A100" s="2" t="s">
        <v>416</v>
      </c>
      <c r="B100" s="4" t="s">
        <v>29</v>
      </c>
      <c r="C100" s="6" t="s">
        <v>42</v>
      </c>
      <c r="D100" s="7" t="s">
        <v>413</v>
      </c>
      <c r="E100" s="10">
        <v>116</v>
      </c>
      <c r="F100" s="4"/>
      <c r="G100" s="4" t="s">
        <v>133</v>
      </c>
      <c r="H100" s="3">
        <v>5</v>
      </c>
      <c r="I100" s="2">
        <v>4.5</v>
      </c>
      <c r="J100" s="3" t="s">
        <v>34</v>
      </c>
      <c r="K100" s="5">
        <v>72</v>
      </c>
      <c r="L100" s="5">
        <v>72</v>
      </c>
      <c r="M100" s="5">
        <v>56</v>
      </c>
      <c r="N100" s="3">
        <f>(K100+M100)/16</f>
        <v>8</v>
      </c>
      <c r="O100" s="21" t="s">
        <v>35</v>
      </c>
      <c r="P100" s="1" t="s">
        <v>317</v>
      </c>
      <c r="Q100" s="1" t="s">
        <v>318</v>
      </c>
      <c r="R100" s="63" t="s">
        <v>333</v>
      </c>
      <c r="S100" s="64" t="s">
        <v>162</v>
      </c>
      <c r="X100" s="63" t="s">
        <v>249</v>
      </c>
      <c r="Y100" s="64" t="s">
        <v>73</v>
      </c>
      <c r="Z100" s="63" t="s">
        <v>354</v>
      </c>
      <c r="AA100" s="64" t="s">
        <v>110</v>
      </c>
      <c r="AB100" s="71"/>
    </row>
    <row r="101" spans="1:28" ht="13.5">
      <c r="A101" s="2" t="s">
        <v>417</v>
      </c>
      <c r="B101" s="4" t="s">
        <v>29</v>
      </c>
      <c r="C101" s="6" t="s">
        <v>42</v>
      </c>
      <c r="D101" s="20" t="s">
        <v>418</v>
      </c>
      <c r="E101" s="10">
        <v>117</v>
      </c>
      <c r="G101" s="4" t="s">
        <v>77</v>
      </c>
      <c r="H101" s="3">
        <v>5</v>
      </c>
      <c r="I101" s="2">
        <v>4.5</v>
      </c>
      <c r="J101" s="3" t="s">
        <v>78</v>
      </c>
      <c r="K101" s="5">
        <v>67.5</v>
      </c>
      <c r="L101" s="5">
        <v>67.5</v>
      </c>
      <c r="N101" s="3">
        <v>9</v>
      </c>
      <c r="O101" s="21" t="s">
        <v>79</v>
      </c>
      <c r="P101" s="1" t="s">
        <v>326</v>
      </c>
      <c r="Q101" s="1" t="s">
        <v>327</v>
      </c>
      <c r="T101" s="63" t="s">
        <v>72</v>
      </c>
      <c r="U101" s="64" t="s">
        <v>172</v>
      </c>
      <c r="V101" s="63" t="s">
        <v>276</v>
      </c>
      <c r="W101" s="64" t="s">
        <v>39</v>
      </c>
      <c r="Z101" s="63" t="s">
        <v>72</v>
      </c>
      <c r="AA101" s="64" t="s">
        <v>332</v>
      </c>
    </row>
    <row r="102" spans="1:28" ht="22.5">
      <c r="A102" s="2" t="s">
        <v>419</v>
      </c>
      <c r="B102" s="3" t="s">
        <v>29</v>
      </c>
      <c r="C102" s="1" t="s">
        <v>42</v>
      </c>
      <c r="D102" s="7" t="s">
        <v>420</v>
      </c>
      <c r="E102" s="10">
        <v>118</v>
      </c>
      <c r="G102" s="4" t="s">
        <v>186</v>
      </c>
      <c r="H102" s="3">
        <v>1</v>
      </c>
      <c r="I102" s="2">
        <v>3</v>
      </c>
      <c r="J102" s="4" t="s">
        <v>34</v>
      </c>
      <c r="K102" s="5">
        <v>48</v>
      </c>
      <c r="L102" s="5">
        <v>48</v>
      </c>
      <c r="M102" s="5">
        <v>48</v>
      </c>
      <c r="N102" s="8">
        <v>6</v>
      </c>
      <c r="O102" s="3" t="s">
        <v>176</v>
      </c>
      <c r="P102" s="30" t="s">
        <v>421</v>
      </c>
      <c r="Q102" s="1" t="s">
        <v>422</v>
      </c>
      <c r="R102" s="63" t="s">
        <v>311</v>
      </c>
      <c r="S102" s="64" t="s">
        <v>64</v>
      </c>
      <c r="T102" s="63" t="s">
        <v>148</v>
      </c>
      <c r="U102" s="64" t="s">
        <v>39</v>
      </c>
    </row>
    <row r="103" spans="1:28" ht="13.5">
      <c r="A103" s="2" t="s">
        <v>423</v>
      </c>
      <c r="B103" s="4" t="s">
        <v>29</v>
      </c>
      <c r="C103" s="1" t="s">
        <v>42</v>
      </c>
      <c r="D103" s="7" t="s">
        <v>424</v>
      </c>
      <c r="E103" s="10">
        <v>119</v>
      </c>
      <c r="G103" s="4" t="s">
        <v>133</v>
      </c>
      <c r="H103" s="3">
        <v>4</v>
      </c>
      <c r="I103" s="2">
        <v>2.5</v>
      </c>
      <c r="J103" s="3" t="s">
        <v>86</v>
      </c>
      <c r="K103" s="5">
        <f>L103/2</f>
        <v>36</v>
      </c>
      <c r="L103" s="5">
        <v>72</v>
      </c>
      <c r="M103" s="5">
        <v>56</v>
      </c>
      <c r="N103" s="3">
        <f>(L103+M103)/16</f>
        <v>8</v>
      </c>
      <c r="O103" s="3" t="s">
        <v>35</v>
      </c>
      <c r="P103" s="1" t="s">
        <v>425</v>
      </c>
      <c r="Q103" s="2" t="s">
        <v>426</v>
      </c>
      <c r="X103" s="63" t="s">
        <v>252</v>
      </c>
      <c r="Y103" s="64" t="s">
        <v>399</v>
      </c>
    </row>
    <row r="104" spans="1:28" ht="13.5">
      <c r="A104" s="2" t="s">
        <v>427</v>
      </c>
      <c r="B104" s="4" t="s">
        <v>29</v>
      </c>
      <c r="C104" s="6" t="s">
        <v>42</v>
      </c>
      <c r="D104" s="20" t="s">
        <v>428</v>
      </c>
      <c r="E104" s="10">
        <v>120</v>
      </c>
      <c r="G104" s="4" t="s">
        <v>137</v>
      </c>
      <c r="H104" s="3">
        <v>5</v>
      </c>
      <c r="I104" s="2">
        <v>4</v>
      </c>
      <c r="J104" s="3" t="s">
        <v>34</v>
      </c>
      <c r="K104" s="5">
        <v>64</v>
      </c>
      <c r="L104" s="5">
        <v>64</v>
      </c>
      <c r="M104" s="5">
        <v>64</v>
      </c>
      <c r="N104" s="3">
        <f t="shared" ref="N104:N109" si="2">(K104+M104)/16</f>
        <v>8</v>
      </c>
      <c r="O104" s="21" t="s">
        <v>35</v>
      </c>
      <c r="P104" s="2" t="s">
        <v>383</v>
      </c>
      <c r="Q104" s="2" t="s">
        <v>384</v>
      </c>
      <c r="T104" s="63" t="s">
        <v>414</v>
      </c>
      <c r="U104" s="64" t="s">
        <v>429</v>
      </c>
      <c r="Z104" s="63" t="s">
        <v>414</v>
      </c>
      <c r="AA104" s="64" t="s">
        <v>429</v>
      </c>
    </row>
    <row r="105" spans="1:28" ht="13.5">
      <c r="A105" s="2" t="s">
        <v>430</v>
      </c>
      <c r="B105" s="4" t="s">
        <v>29</v>
      </c>
      <c r="C105" s="6" t="s">
        <v>42</v>
      </c>
      <c r="D105" s="20" t="s">
        <v>431</v>
      </c>
      <c r="E105" s="10">
        <v>121</v>
      </c>
      <c r="F105" s="3">
        <v>1</v>
      </c>
      <c r="G105" s="4" t="s">
        <v>106</v>
      </c>
      <c r="H105" s="3">
        <v>5</v>
      </c>
      <c r="I105" s="2">
        <v>3</v>
      </c>
      <c r="J105" s="3" t="s">
        <v>34</v>
      </c>
      <c r="K105" s="5">
        <v>48</v>
      </c>
      <c r="L105" s="5">
        <v>48</v>
      </c>
      <c r="M105" s="5">
        <v>48</v>
      </c>
      <c r="N105" s="3">
        <f t="shared" si="2"/>
        <v>6</v>
      </c>
      <c r="O105" s="21" t="s">
        <v>35</v>
      </c>
      <c r="P105" s="6" t="s">
        <v>432</v>
      </c>
      <c r="Q105" s="1" t="s">
        <v>433</v>
      </c>
      <c r="R105" s="63" t="s">
        <v>358</v>
      </c>
      <c r="S105" s="64" t="s">
        <v>83</v>
      </c>
      <c r="V105" s="63" t="s">
        <v>276</v>
      </c>
      <c r="W105" s="64" t="s">
        <v>64</v>
      </c>
      <c r="AB105" s="71"/>
    </row>
    <row r="106" spans="1:28" ht="13.5">
      <c r="A106" s="2" t="s">
        <v>434</v>
      </c>
      <c r="B106" s="4" t="s">
        <v>29</v>
      </c>
      <c r="C106" s="6" t="s">
        <v>42</v>
      </c>
      <c r="D106" s="20" t="s">
        <v>431</v>
      </c>
      <c r="E106" s="10">
        <v>121</v>
      </c>
      <c r="F106" s="3">
        <v>2</v>
      </c>
      <c r="G106" s="4" t="s">
        <v>106</v>
      </c>
      <c r="H106" s="3">
        <v>5</v>
      </c>
      <c r="I106" s="2">
        <v>3</v>
      </c>
      <c r="J106" s="3" t="s">
        <v>34</v>
      </c>
      <c r="K106" s="5">
        <v>48</v>
      </c>
      <c r="L106" s="5">
        <v>48</v>
      </c>
      <c r="M106" s="5">
        <v>48</v>
      </c>
      <c r="N106" s="3">
        <f t="shared" si="2"/>
        <v>6</v>
      </c>
      <c r="O106" s="21" t="s">
        <v>35</v>
      </c>
      <c r="P106" s="1" t="s">
        <v>432</v>
      </c>
      <c r="Q106" s="1" t="s">
        <v>433</v>
      </c>
      <c r="V106" s="63" t="s">
        <v>71</v>
      </c>
      <c r="W106" s="64" t="s">
        <v>162</v>
      </c>
      <c r="Z106" s="63" t="s">
        <v>249</v>
      </c>
      <c r="AA106" s="64" t="s">
        <v>149</v>
      </c>
      <c r="AB106" s="71"/>
    </row>
    <row r="107" spans="1:28" ht="13.5">
      <c r="A107" s="2" t="s">
        <v>435</v>
      </c>
      <c r="B107" s="4" t="s">
        <v>29</v>
      </c>
      <c r="C107" s="6" t="s">
        <v>42</v>
      </c>
      <c r="D107" s="20" t="s">
        <v>436</v>
      </c>
      <c r="E107" s="10">
        <v>123</v>
      </c>
      <c r="G107" s="4" t="s">
        <v>59</v>
      </c>
      <c r="H107" s="24">
        <v>3</v>
      </c>
      <c r="I107" s="2">
        <v>4.5</v>
      </c>
      <c r="J107" s="3" t="s">
        <v>34</v>
      </c>
      <c r="K107" s="5">
        <v>72</v>
      </c>
      <c r="L107" s="5">
        <v>72</v>
      </c>
      <c r="M107" s="5">
        <v>56</v>
      </c>
      <c r="N107" s="3">
        <f t="shared" si="2"/>
        <v>8</v>
      </c>
      <c r="O107" s="21" t="s">
        <v>35</v>
      </c>
      <c r="P107" s="1" t="s">
        <v>437</v>
      </c>
      <c r="Q107" s="12" t="s">
        <v>438</v>
      </c>
      <c r="T107" s="63" t="s">
        <v>102</v>
      </c>
      <c r="U107" s="64" t="s">
        <v>216</v>
      </c>
      <c r="Z107" s="63" t="s">
        <v>102</v>
      </c>
      <c r="AA107" s="64" t="s">
        <v>215</v>
      </c>
    </row>
    <row r="108" spans="1:28" ht="13.5">
      <c r="A108" s="2" t="s">
        <v>439</v>
      </c>
      <c r="B108" s="4" t="s">
        <v>29</v>
      </c>
      <c r="C108" s="6" t="s">
        <v>42</v>
      </c>
      <c r="D108" s="7" t="s">
        <v>436</v>
      </c>
      <c r="E108" s="10">
        <v>124</v>
      </c>
      <c r="F108" s="3">
        <v>1</v>
      </c>
      <c r="G108" s="4" t="s">
        <v>133</v>
      </c>
      <c r="H108" s="24">
        <v>3</v>
      </c>
      <c r="I108" s="2">
        <v>4.5</v>
      </c>
      <c r="J108" s="3" t="s">
        <v>34</v>
      </c>
      <c r="K108" s="5">
        <v>72</v>
      </c>
      <c r="L108" s="5">
        <v>72</v>
      </c>
      <c r="M108" s="5">
        <v>56</v>
      </c>
      <c r="N108" s="3">
        <f t="shared" si="2"/>
        <v>8</v>
      </c>
      <c r="O108" s="21" t="s">
        <v>35</v>
      </c>
      <c r="P108" s="1" t="s">
        <v>371</v>
      </c>
      <c r="Q108" s="2" t="s">
        <v>372</v>
      </c>
      <c r="T108" s="63" t="s">
        <v>173</v>
      </c>
      <c r="U108" s="64" t="s">
        <v>244</v>
      </c>
      <c r="Z108" s="63" t="s">
        <v>102</v>
      </c>
      <c r="AA108" s="64" t="s">
        <v>244</v>
      </c>
    </row>
    <row r="109" spans="1:28" ht="13.5">
      <c r="A109" s="2" t="s">
        <v>440</v>
      </c>
      <c r="B109" s="4" t="s">
        <v>29</v>
      </c>
      <c r="C109" s="6" t="s">
        <v>42</v>
      </c>
      <c r="D109" s="20" t="s">
        <v>436</v>
      </c>
      <c r="E109" s="10">
        <v>124</v>
      </c>
      <c r="F109" s="3">
        <v>2</v>
      </c>
      <c r="G109" s="4" t="s">
        <v>133</v>
      </c>
      <c r="H109" s="24">
        <v>3</v>
      </c>
      <c r="I109" s="2">
        <v>4.5</v>
      </c>
      <c r="J109" s="3" t="s">
        <v>34</v>
      </c>
      <c r="K109" s="5">
        <v>72</v>
      </c>
      <c r="L109" s="5">
        <v>72</v>
      </c>
      <c r="M109" s="5">
        <v>56</v>
      </c>
      <c r="N109" s="3">
        <f t="shared" si="2"/>
        <v>8</v>
      </c>
      <c r="O109" s="21" t="s">
        <v>35</v>
      </c>
      <c r="P109" s="6" t="s">
        <v>441</v>
      </c>
      <c r="Q109" s="6" t="s">
        <v>442</v>
      </c>
      <c r="X109" s="63" t="s">
        <v>194</v>
      </c>
      <c r="Y109" s="64" t="s">
        <v>244</v>
      </c>
      <c r="Z109" s="63" t="s">
        <v>198</v>
      </c>
      <c r="AA109" s="64" t="s">
        <v>244</v>
      </c>
    </row>
    <row r="110" spans="1:28" ht="13.5">
      <c r="A110" s="2" t="s">
        <v>443</v>
      </c>
      <c r="B110" s="4" t="s">
        <v>29</v>
      </c>
      <c r="C110" s="1" t="s">
        <v>42</v>
      </c>
      <c r="D110" s="7" t="s">
        <v>436</v>
      </c>
      <c r="E110" s="10">
        <v>126</v>
      </c>
      <c r="G110" s="4" t="s">
        <v>44</v>
      </c>
      <c r="H110" s="3">
        <v>4</v>
      </c>
      <c r="I110" s="2">
        <v>2.5</v>
      </c>
      <c r="J110" s="3" t="s">
        <v>86</v>
      </c>
      <c r="K110" s="5">
        <f>L110/2</f>
        <v>36</v>
      </c>
      <c r="L110" s="5">
        <v>72</v>
      </c>
      <c r="M110" s="5">
        <v>56</v>
      </c>
      <c r="N110" s="3">
        <f>(L110+M110)/16</f>
        <v>8</v>
      </c>
      <c r="O110" s="3" t="s">
        <v>35</v>
      </c>
      <c r="P110" s="1" t="s">
        <v>444</v>
      </c>
      <c r="Q110" s="1" t="s">
        <v>445</v>
      </c>
      <c r="X110" s="63" t="s">
        <v>407</v>
      </c>
      <c r="Y110" s="64" t="s">
        <v>244</v>
      </c>
    </row>
    <row r="111" spans="1:28" ht="13.5">
      <c r="A111" s="2" t="s">
        <v>446</v>
      </c>
      <c r="B111" s="4" t="s">
        <v>29</v>
      </c>
      <c r="C111" s="6" t="s">
        <v>42</v>
      </c>
      <c r="D111" s="27" t="s">
        <v>447</v>
      </c>
      <c r="E111" s="10">
        <v>127</v>
      </c>
      <c r="F111" s="3">
        <v>1</v>
      </c>
      <c r="G111" s="4" t="s">
        <v>44</v>
      </c>
      <c r="H111" s="3">
        <v>7</v>
      </c>
      <c r="I111" s="7">
        <v>4.5</v>
      </c>
      <c r="J111" s="3" t="s">
        <v>34</v>
      </c>
      <c r="K111" s="5">
        <v>72</v>
      </c>
      <c r="L111" s="5">
        <v>72</v>
      </c>
      <c r="M111" s="5">
        <v>40</v>
      </c>
      <c r="N111" s="3">
        <f>(K111+M111)/16</f>
        <v>7</v>
      </c>
      <c r="O111" s="3" t="s">
        <v>35</v>
      </c>
      <c r="P111" s="1" t="s">
        <v>448</v>
      </c>
      <c r="Q111" s="1" t="s">
        <v>449</v>
      </c>
      <c r="T111" s="63" t="s">
        <v>124</v>
      </c>
      <c r="U111" s="64" t="s">
        <v>215</v>
      </c>
      <c r="V111" s="63" t="s">
        <v>71</v>
      </c>
      <c r="W111" s="64" t="s">
        <v>215</v>
      </c>
      <c r="Z111" s="63" t="s">
        <v>74</v>
      </c>
      <c r="AA111" s="64" t="s">
        <v>226</v>
      </c>
    </row>
    <row r="112" spans="1:28" ht="13.5">
      <c r="A112" s="2" t="s">
        <v>450</v>
      </c>
      <c r="B112" s="4" t="s">
        <v>29</v>
      </c>
      <c r="C112" s="6" t="s">
        <v>42</v>
      </c>
      <c r="D112" s="7" t="s">
        <v>447</v>
      </c>
      <c r="E112" s="10">
        <v>127</v>
      </c>
      <c r="F112" s="3">
        <v>2</v>
      </c>
      <c r="G112" s="4" t="s">
        <v>44</v>
      </c>
      <c r="H112" s="3">
        <v>7</v>
      </c>
      <c r="I112" s="7">
        <v>4.5</v>
      </c>
      <c r="J112" s="3" t="s">
        <v>34</v>
      </c>
      <c r="K112" s="5">
        <v>72</v>
      </c>
      <c r="L112" s="5">
        <v>72</v>
      </c>
      <c r="M112" s="5">
        <v>40</v>
      </c>
      <c r="N112" s="3">
        <f>(K112+M112)/16</f>
        <v>7</v>
      </c>
      <c r="O112" s="3" t="s">
        <v>35</v>
      </c>
      <c r="P112" s="1" t="s">
        <v>448</v>
      </c>
      <c r="Q112" s="1" t="s">
        <v>449</v>
      </c>
      <c r="V112" s="63" t="s">
        <v>123</v>
      </c>
      <c r="W112" s="64" t="s">
        <v>226</v>
      </c>
      <c r="X112" s="63" t="s">
        <v>154</v>
      </c>
      <c r="Y112" s="64" t="s">
        <v>216</v>
      </c>
      <c r="Z112" s="63" t="s">
        <v>237</v>
      </c>
      <c r="AA112" s="64" t="s">
        <v>257</v>
      </c>
    </row>
    <row r="113" spans="1:27" ht="13.5">
      <c r="A113" s="2" t="s">
        <v>451</v>
      </c>
      <c r="B113" s="4" t="s">
        <v>29</v>
      </c>
      <c r="C113" s="6" t="s">
        <v>42</v>
      </c>
      <c r="D113" s="20" t="s">
        <v>452</v>
      </c>
      <c r="E113" s="10">
        <v>129</v>
      </c>
      <c r="G113" s="4" t="s">
        <v>133</v>
      </c>
      <c r="H113" s="24">
        <v>3</v>
      </c>
      <c r="I113" s="2">
        <v>4.5</v>
      </c>
      <c r="J113" s="3" t="s">
        <v>34</v>
      </c>
      <c r="K113" s="5">
        <v>72</v>
      </c>
      <c r="L113" s="5">
        <v>72</v>
      </c>
      <c r="M113" s="5">
        <v>56</v>
      </c>
      <c r="N113" s="3">
        <f>(K113+M113)/16</f>
        <v>8</v>
      </c>
      <c r="O113" s="21" t="s">
        <v>35</v>
      </c>
      <c r="P113" s="1" t="s">
        <v>425</v>
      </c>
      <c r="Q113" s="1" t="s">
        <v>426</v>
      </c>
      <c r="R113" s="63" t="s">
        <v>124</v>
      </c>
      <c r="S113" s="64" t="s">
        <v>118</v>
      </c>
      <c r="T113" s="63" t="s">
        <v>72</v>
      </c>
      <c r="U113" s="64" t="s">
        <v>122</v>
      </c>
      <c r="V113" s="63" t="s">
        <v>123</v>
      </c>
      <c r="W113" s="64" t="s">
        <v>73</v>
      </c>
    </row>
    <row r="114" spans="1:27" ht="13.5">
      <c r="A114" s="2" t="s">
        <v>453</v>
      </c>
      <c r="B114" s="4" t="s">
        <v>29</v>
      </c>
      <c r="C114" s="6" t="s">
        <v>42</v>
      </c>
      <c r="D114" s="20" t="s">
        <v>454</v>
      </c>
      <c r="E114" s="10">
        <v>130</v>
      </c>
      <c r="G114" s="4" t="s">
        <v>44</v>
      </c>
      <c r="H114" s="3">
        <v>1</v>
      </c>
      <c r="I114" s="2">
        <v>4</v>
      </c>
      <c r="J114" s="3" t="s">
        <v>93</v>
      </c>
      <c r="K114" s="5">
        <v>64</v>
      </c>
      <c r="L114" s="5">
        <v>64</v>
      </c>
      <c r="M114" s="5">
        <v>32</v>
      </c>
      <c r="N114" s="3">
        <f>(K114+M114)/16</f>
        <v>6</v>
      </c>
      <c r="O114" s="21" t="s">
        <v>35</v>
      </c>
      <c r="P114" s="1" t="s">
        <v>356</v>
      </c>
      <c r="Q114" s="1" t="s">
        <v>357</v>
      </c>
      <c r="R114" s="63" t="s">
        <v>173</v>
      </c>
      <c r="S114" s="64" t="s">
        <v>40</v>
      </c>
      <c r="V114" s="63" t="s">
        <v>96</v>
      </c>
      <c r="W114" s="64" t="s">
        <v>162</v>
      </c>
    </row>
    <row r="115" spans="1:27" ht="13.5">
      <c r="A115" s="2" t="s">
        <v>455</v>
      </c>
      <c r="B115" s="4" t="s">
        <v>29</v>
      </c>
      <c r="C115" s="6" t="s">
        <v>42</v>
      </c>
      <c r="D115" s="7" t="s">
        <v>454</v>
      </c>
      <c r="E115" s="10">
        <v>130</v>
      </c>
      <c r="F115" s="3">
        <v>1</v>
      </c>
      <c r="G115" s="4" t="s">
        <v>200</v>
      </c>
      <c r="H115" s="3">
        <v>1</v>
      </c>
      <c r="I115" s="2">
        <v>3</v>
      </c>
      <c r="J115" s="4" t="s">
        <v>34</v>
      </c>
      <c r="K115" s="5">
        <v>48</v>
      </c>
      <c r="L115" s="5">
        <v>48</v>
      </c>
      <c r="M115" s="5">
        <v>48</v>
      </c>
      <c r="N115" s="8">
        <v>6</v>
      </c>
      <c r="O115" s="3" t="s">
        <v>176</v>
      </c>
      <c r="P115" s="1" t="s">
        <v>456</v>
      </c>
      <c r="Q115" s="1" t="s">
        <v>457</v>
      </c>
      <c r="V115" s="63" t="s">
        <v>159</v>
      </c>
      <c r="W115" s="64" t="s">
        <v>110</v>
      </c>
      <c r="Z115" s="63" t="s">
        <v>72</v>
      </c>
      <c r="AA115" s="64" t="s">
        <v>83</v>
      </c>
    </row>
    <row r="116" spans="1:27" ht="13.5">
      <c r="A116" s="2" t="s">
        <v>458</v>
      </c>
      <c r="B116" s="4" t="s">
        <v>29</v>
      </c>
      <c r="C116" s="6" t="s">
        <v>42</v>
      </c>
      <c r="D116" s="7" t="s">
        <v>454</v>
      </c>
      <c r="E116" s="10">
        <v>130</v>
      </c>
      <c r="F116" s="3">
        <v>2</v>
      </c>
      <c r="G116" s="4" t="s">
        <v>200</v>
      </c>
      <c r="H116" s="3">
        <v>1</v>
      </c>
      <c r="I116" s="2">
        <v>3</v>
      </c>
      <c r="J116" s="4" t="s">
        <v>34</v>
      </c>
      <c r="K116" s="5">
        <v>48</v>
      </c>
      <c r="L116" s="5">
        <v>48</v>
      </c>
      <c r="M116" s="5">
        <v>48</v>
      </c>
      <c r="N116" s="8">
        <v>6</v>
      </c>
      <c r="O116" s="3" t="s">
        <v>176</v>
      </c>
      <c r="P116" s="1" t="s">
        <v>279</v>
      </c>
      <c r="Q116" s="1" t="s">
        <v>280</v>
      </c>
      <c r="V116" s="63" t="s">
        <v>159</v>
      </c>
      <c r="W116" s="64" t="s">
        <v>122</v>
      </c>
      <c r="Z116" s="63" t="s">
        <v>72</v>
      </c>
      <c r="AA116" s="64" t="s">
        <v>149</v>
      </c>
    </row>
    <row r="117" spans="1:27" ht="13.5">
      <c r="A117" s="2" t="s">
        <v>459</v>
      </c>
      <c r="B117" s="4" t="s">
        <v>29</v>
      </c>
      <c r="C117" s="6" t="s">
        <v>42</v>
      </c>
      <c r="D117" s="7" t="s">
        <v>454</v>
      </c>
      <c r="E117" s="10">
        <v>130</v>
      </c>
      <c r="F117" s="3">
        <v>3</v>
      </c>
      <c r="G117" s="4" t="s">
        <v>200</v>
      </c>
      <c r="H117" s="3">
        <v>1</v>
      </c>
      <c r="I117" s="2">
        <v>3</v>
      </c>
      <c r="J117" s="4" t="s">
        <v>34</v>
      </c>
      <c r="K117" s="5">
        <v>48</v>
      </c>
      <c r="L117" s="5">
        <v>48</v>
      </c>
      <c r="M117" s="5">
        <v>48</v>
      </c>
      <c r="N117" s="8">
        <v>6</v>
      </c>
      <c r="O117" s="3" t="s">
        <v>176</v>
      </c>
      <c r="P117" s="1" t="s">
        <v>448</v>
      </c>
      <c r="Q117" s="1" t="s">
        <v>449</v>
      </c>
      <c r="V117" s="63" t="s">
        <v>159</v>
      </c>
      <c r="W117" s="64" t="s">
        <v>56</v>
      </c>
      <c r="Z117" s="63" t="s">
        <v>72</v>
      </c>
      <c r="AA117" s="64" t="s">
        <v>122</v>
      </c>
    </row>
    <row r="118" spans="1:27" ht="13.5">
      <c r="A118" s="2" t="s">
        <v>460</v>
      </c>
      <c r="B118" s="3" t="s">
        <v>29</v>
      </c>
      <c r="C118" s="6" t="s">
        <v>42</v>
      </c>
      <c r="D118" s="7" t="s">
        <v>461</v>
      </c>
      <c r="E118" s="10">
        <v>134</v>
      </c>
      <c r="G118" s="4" t="s">
        <v>184</v>
      </c>
      <c r="H118" s="3">
        <v>1</v>
      </c>
      <c r="I118" s="2">
        <v>4.5</v>
      </c>
      <c r="J118" s="4" t="s">
        <v>34</v>
      </c>
      <c r="K118" s="5">
        <v>72</v>
      </c>
      <c r="L118" s="5">
        <v>72</v>
      </c>
      <c r="M118" s="5">
        <v>56</v>
      </c>
      <c r="N118" s="8">
        <v>8</v>
      </c>
      <c r="O118" s="3" t="s">
        <v>176</v>
      </c>
      <c r="P118" s="1" t="s">
        <v>213</v>
      </c>
      <c r="Q118" s="1" t="s">
        <v>214</v>
      </c>
      <c r="R118" s="63" t="s">
        <v>102</v>
      </c>
      <c r="S118" s="64" t="s">
        <v>216</v>
      </c>
      <c r="X118" s="63" t="s">
        <v>102</v>
      </c>
      <c r="Y118" s="64" t="s">
        <v>216</v>
      </c>
    </row>
    <row r="119" spans="1:27" ht="12" customHeight="1">
      <c r="A119" s="2" t="s">
        <v>462</v>
      </c>
      <c r="B119" s="3" t="s">
        <v>29</v>
      </c>
      <c r="C119" s="6" t="s">
        <v>42</v>
      </c>
      <c r="D119" s="7" t="s">
        <v>461</v>
      </c>
      <c r="E119" s="10">
        <v>135</v>
      </c>
      <c r="G119" s="3" t="s">
        <v>463</v>
      </c>
      <c r="H119" s="3">
        <v>1</v>
      </c>
      <c r="I119" s="2">
        <v>4.5</v>
      </c>
      <c r="J119" s="4" t="s">
        <v>464</v>
      </c>
      <c r="K119" s="5">
        <v>72</v>
      </c>
      <c r="L119" s="5">
        <v>72</v>
      </c>
      <c r="M119" s="5">
        <v>56</v>
      </c>
      <c r="N119" s="8">
        <v>8</v>
      </c>
      <c r="O119" s="3" t="s">
        <v>176</v>
      </c>
      <c r="P119" s="1" t="s">
        <v>444</v>
      </c>
      <c r="Q119" s="1" t="s">
        <v>445</v>
      </c>
      <c r="R119" s="63" t="s">
        <v>102</v>
      </c>
      <c r="S119" s="64" t="s">
        <v>226</v>
      </c>
      <c r="X119" s="63" t="s">
        <v>102</v>
      </c>
      <c r="Y119" s="64" t="s">
        <v>215</v>
      </c>
    </row>
    <row r="120" spans="1:27" ht="13.5">
      <c r="A120" s="2" t="s">
        <v>465</v>
      </c>
      <c r="B120" s="4" t="s">
        <v>29</v>
      </c>
      <c r="C120" s="6" t="s">
        <v>42</v>
      </c>
      <c r="D120" s="7" t="s">
        <v>461</v>
      </c>
      <c r="E120" s="10">
        <v>136</v>
      </c>
      <c r="F120" s="3">
        <v>1</v>
      </c>
      <c r="G120" s="4" t="s">
        <v>190</v>
      </c>
      <c r="H120" s="3">
        <v>1</v>
      </c>
      <c r="I120" s="2">
        <v>4.5</v>
      </c>
      <c r="J120" s="4" t="s">
        <v>34</v>
      </c>
      <c r="K120" s="5">
        <v>72</v>
      </c>
      <c r="L120" s="5">
        <v>72</v>
      </c>
      <c r="M120" s="5">
        <v>56</v>
      </c>
      <c r="N120" s="8">
        <f>(L120+M120)/16</f>
        <v>8</v>
      </c>
      <c r="O120" s="3" t="s">
        <v>191</v>
      </c>
      <c r="P120" s="1" t="s">
        <v>223</v>
      </c>
      <c r="Q120" s="1" t="s">
        <v>466</v>
      </c>
      <c r="R120" s="63" t="s">
        <v>103</v>
      </c>
      <c r="S120" s="64" t="s">
        <v>215</v>
      </c>
      <c r="T120" s="63" t="s">
        <v>140</v>
      </c>
      <c r="U120" s="64" t="s">
        <v>216</v>
      </c>
    </row>
    <row r="121" spans="1:27" ht="13.5">
      <c r="A121" s="2" t="s">
        <v>467</v>
      </c>
      <c r="B121" s="4" t="s">
        <v>29</v>
      </c>
      <c r="C121" s="6" t="s">
        <v>42</v>
      </c>
      <c r="D121" s="7" t="s">
        <v>461</v>
      </c>
      <c r="E121" s="10">
        <v>136</v>
      </c>
      <c r="F121" s="3">
        <v>2</v>
      </c>
      <c r="G121" s="4" t="s">
        <v>190</v>
      </c>
      <c r="H121" s="3">
        <v>1</v>
      </c>
      <c r="I121" s="2">
        <v>4.5</v>
      </c>
      <c r="J121" s="4" t="s">
        <v>34</v>
      </c>
      <c r="K121" s="5">
        <v>72</v>
      </c>
      <c r="L121" s="5">
        <v>72</v>
      </c>
      <c r="M121" s="5">
        <v>56</v>
      </c>
      <c r="N121" s="8">
        <f>(L121+M121)/16</f>
        <v>8</v>
      </c>
      <c r="O121" s="3" t="s">
        <v>191</v>
      </c>
      <c r="P121" s="1" t="s">
        <v>468</v>
      </c>
      <c r="Q121" s="1" t="s">
        <v>469</v>
      </c>
      <c r="R121" s="63" t="s">
        <v>103</v>
      </c>
      <c r="S121" s="64" t="s">
        <v>257</v>
      </c>
      <c r="T121" s="63" t="s">
        <v>140</v>
      </c>
      <c r="U121" s="64" t="s">
        <v>257</v>
      </c>
    </row>
    <row r="122" spans="1:27" ht="13.5">
      <c r="A122" s="2" t="s">
        <v>470</v>
      </c>
      <c r="B122" s="4" t="s">
        <v>29</v>
      </c>
      <c r="C122" s="6" t="s">
        <v>42</v>
      </c>
      <c r="D122" s="7" t="s">
        <v>461</v>
      </c>
      <c r="E122" s="10">
        <v>138</v>
      </c>
      <c r="F122" s="3">
        <v>1</v>
      </c>
      <c r="G122" s="4" t="s">
        <v>200</v>
      </c>
      <c r="H122" s="3">
        <v>1</v>
      </c>
      <c r="I122" s="2">
        <v>4.5</v>
      </c>
      <c r="J122" s="4" t="s">
        <v>34</v>
      </c>
      <c r="K122" s="5">
        <v>72</v>
      </c>
      <c r="L122" s="5">
        <v>72</v>
      </c>
      <c r="M122" s="5">
        <v>56</v>
      </c>
      <c r="N122" s="8">
        <v>8</v>
      </c>
      <c r="O122" s="3" t="s">
        <v>176</v>
      </c>
      <c r="P122" s="1" t="s">
        <v>60</v>
      </c>
      <c r="Q122" s="1" t="s">
        <v>61</v>
      </c>
      <c r="V122" s="63" t="s">
        <v>96</v>
      </c>
      <c r="W122" s="64" t="s">
        <v>257</v>
      </c>
      <c r="Z122" s="63" t="s">
        <v>96</v>
      </c>
      <c r="AA122" s="64" t="s">
        <v>216</v>
      </c>
    </row>
    <row r="123" spans="1:27" ht="13.5">
      <c r="A123" s="2" t="s">
        <v>471</v>
      </c>
      <c r="B123" s="4" t="s">
        <v>29</v>
      </c>
      <c r="C123" s="6" t="s">
        <v>42</v>
      </c>
      <c r="D123" s="7" t="s">
        <v>461</v>
      </c>
      <c r="E123" s="10">
        <v>138</v>
      </c>
      <c r="F123" s="3">
        <v>2</v>
      </c>
      <c r="G123" s="4" t="s">
        <v>200</v>
      </c>
      <c r="H123" s="3">
        <v>1</v>
      </c>
      <c r="I123" s="2">
        <v>4.5</v>
      </c>
      <c r="J123" s="4" t="s">
        <v>34</v>
      </c>
      <c r="K123" s="5">
        <v>72</v>
      </c>
      <c r="L123" s="5">
        <v>72</v>
      </c>
      <c r="M123" s="5">
        <v>56</v>
      </c>
      <c r="N123" s="8">
        <v>8</v>
      </c>
      <c r="O123" s="3" t="s">
        <v>176</v>
      </c>
      <c r="P123" s="1" t="s">
        <v>279</v>
      </c>
      <c r="Q123" s="1" t="s">
        <v>280</v>
      </c>
      <c r="V123" s="63" t="s">
        <v>96</v>
      </c>
      <c r="W123" s="64" t="s">
        <v>216</v>
      </c>
      <c r="Z123" s="63" t="s">
        <v>96</v>
      </c>
      <c r="AA123" s="64" t="s">
        <v>226</v>
      </c>
    </row>
    <row r="124" spans="1:27" ht="13.5">
      <c r="A124" s="2" t="s">
        <v>472</v>
      </c>
      <c r="B124" s="4" t="s">
        <v>29</v>
      </c>
      <c r="C124" s="6" t="s">
        <v>42</v>
      </c>
      <c r="D124" s="7" t="s">
        <v>461</v>
      </c>
      <c r="E124" s="10">
        <v>138</v>
      </c>
      <c r="F124" s="3">
        <v>3</v>
      </c>
      <c r="G124" s="4" t="s">
        <v>200</v>
      </c>
      <c r="H124" s="3">
        <v>1</v>
      </c>
      <c r="I124" s="2">
        <v>4.5</v>
      </c>
      <c r="J124" s="4" t="s">
        <v>34</v>
      </c>
      <c r="K124" s="5">
        <v>72</v>
      </c>
      <c r="L124" s="5">
        <v>72</v>
      </c>
      <c r="M124" s="5">
        <v>56</v>
      </c>
      <c r="N124" s="8">
        <v>8</v>
      </c>
      <c r="O124" s="3" t="s">
        <v>176</v>
      </c>
      <c r="P124" s="1" t="s">
        <v>45</v>
      </c>
      <c r="Q124" s="1" t="s">
        <v>46</v>
      </c>
      <c r="V124" s="63" t="s">
        <v>96</v>
      </c>
      <c r="W124" s="64" t="s">
        <v>215</v>
      </c>
      <c r="Z124" s="63" t="s">
        <v>96</v>
      </c>
      <c r="AA124" s="64" t="s">
        <v>257</v>
      </c>
    </row>
    <row r="125" spans="1:27" ht="13.5">
      <c r="A125" s="2" t="s">
        <v>473</v>
      </c>
      <c r="B125" s="4" t="s">
        <v>29</v>
      </c>
      <c r="C125" s="6" t="s">
        <v>42</v>
      </c>
      <c r="D125" s="7" t="s">
        <v>461</v>
      </c>
      <c r="E125" s="10">
        <v>138</v>
      </c>
      <c r="F125" s="3">
        <v>4</v>
      </c>
      <c r="G125" s="4" t="s">
        <v>200</v>
      </c>
      <c r="H125" s="3">
        <v>1</v>
      </c>
      <c r="I125" s="2">
        <v>4.5</v>
      </c>
      <c r="J125" s="4" t="s">
        <v>34</v>
      </c>
      <c r="K125" s="5">
        <v>72</v>
      </c>
      <c r="L125" s="5">
        <v>72</v>
      </c>
      <c r="M125" s="5">
        <v>56</v>
      </c>
      <c r="N125" s="8">
        <v>8</v>
      </c>
      <c r="O125" s="3" t="s">
        <v>176</v>
      </c>
      <c r="P125" s="1" t="s">
        <v>474</v>
      </c>
      <c r="Q125" s="1" t="s">
        <v>475</v>
      </c>
      <c r="V125" s="63" t="s">
        <v>96</v>
      </c>
      <c r="W125" s="64" t="s">
        <v>226</v>
      </c>
      <c r="Z125" s="63" t="s">
        <v>96</v>
      </c>
      <c r="AA125" s="64" t="s">
        <v>215</v>
      </c>
    </row>
    <row r="126" spans="1:27" ht="13.5">
      <c r="A126" s="2" t="s">
        <v>476</v>
      </c>
      <c r="B126" s="4" t="s">
        <v>29</v>
      </c>
      <c r="C126" s="25" t="s">
        <v>42</v>
      </c>
      <c r="D126" s="7" t="s">
        <v>477</v>
      </c>
      <c r="E126" s="10">
        <v>142</v>
      </c>
      <c r="F126" s="3">
        <v>1</v>
      </c>
      <c r="G126" s="4" t="s">
        <v>175</v>
      </c>
      <c r="H126" s="3">
        <v>1</v>
      </c>
      <c r="I126" s="2">
        <v>4</v>
      </c>
      <c r="J126" s="4" t="s">
        <v>34</v>
      </c>
      <c r="K126" s="5">
        <v>64</v>
      </c>
      <c r="L126" s="5">
        <v>64</v>
      </c>
      <c r="M126" s="5">
        <v>64</v>
      </c>
      <c r="N126" s="8">
        <v>8</v>
      </c>
      <c r="O126" s="3" t="s">
        <v>176</v>
      </c>
      <c r="P126" s="1" t="s">
        <v>45</v>
      </c>
      <c r="Q126" s="1" t="s">
        <v>478</v>
      </c>
      <c r="V126" s="63" t="s">
        <v>96</v>
      </c>
      <c r="W126" s="64" t="s">
        <v>56</v>
      </c>
      <c r="Z126" s="63" t="s">
        <v>411</v>
      </c>
      <c r="AA126" s="64" t="s">
        <v>56</v>
      </c>
    </row>
    <row r="127" spans="1:27" ht="13.5">
      <c r="A127" s="2" t="s">
        <v>479</v>
      </c>
      <c r="B127" s="4" t="s">
        <v>29</v>
      </c>
      <c r="C127" s="25" t="s">
        <v>42</v>
      </c>
      <c r="D127" s="7" t="s">
        <v>477</v>
      </c>
      <c r="E127" s="10">
        <v>142</v>
      </c>
      <c r="F127" s="3">
        <v>2</v>
      </c>
      <c r="G127" s="4" t="s">
        <v>175</v>
      </c>
      <c r="H127" s="3">
        <v>1</v>
      </c>
      <c r="I127" s="2">
        <v>4</v>
      </c>
      <c r="J127" s="4" t="s">
        <v>34</v>
      </c>
      <c r="K127" s="5">
        <v>64</v>
      </c>
      <c r="L127" s="5">
        <v>64</v>
      </c>
      <c r="M127" s="5">
        <v>64</v>
      </c>
      <c r="N127" s="8">
        <v>8</v>
      </c>
      <c r="O127" s="3" t="s">
        <v>176</v>
      </c>
      <c r="P127" s="1" t="s">
        <v>480</v>
      </c>
      <c r="Q127" s="1" t="s">
        <v>481</v>
      </c>
      <c r="T127" s="63" t="s">
        <v>103</v>
      </c>
      <c r="U127" s="64" t="s">
        <v>50</v>
      </c>
      <c r="X127" s="63" t="s">
        <v>482</v>
      </c>
      <c r="Y127" s="64" t="s">
        <v>40</v>
      </c>
    </row>
    <row r="128" spans="1:27" ht="13.5">
      <c r="A128" s="2" t="s">
        <v>483</v>
      </c>
      <c r="B128" s="4" t="s">
        <v>29</v>
      </c>
      <c r="C128" s="25" t="s">
        <v>42</v>
      </c>
      <c r="D128" s="7" t="s">
        <v>477</v>
      </c>
      <c r="E128" s="10">
        <v>142</v>
      </c>
      <c r="F128" s="3">
        <v>3</v>
      </c>
      <c r="G128" s="4" t="s">
        <v>175</v>
      </c>
      <c r="H128" s="3">
        <v>1</v>
      </c>
      <c r="I128" s="2">
        <v>4</v>
      </c>
      <c r="J128" s="4" t="s">
        <v>34</v>
      </c>
      <c r="K128" s="5">
        <v>64</v>
      </c>
      <c r="L128" s="5">
        <v>64</v>
      </c>
      <c r="M128" s="5">
        <v>64</v>
      </c>
      <c r="N128" s="8">
        <v>8</v>
      </c>
      <c r="O128" s="3" t="s">
        <v>176</v>
      </c>
      <c r="P128" s="2" t="s">
        <v>484</v>
      </c>
      <c r="Q128" s="1" t="s">
        <v>485</v>
      </c>
      <c r="R128" s="63" t="s">
        <v>96</v>
      </c>
      <c r="S128" s="64" t="s">
        <v>111</v>
      </c>
      <c r="X128" s="63" t="s">
        <v>140</v>
      </c>
      <c r="Y128" s="64" t="s">
        <v>111</v>
      </c>
    </row>
    <row r="129" spans="1:28" ht="22.5">
      <c r="A129" s="2" t="s">
        <v>486</v>
      </c>
      <c r="B129" s="4" t="s">
        <v>29</v>
      </c>
      <c r="C129" s="6" t="s">
        <v>42</v>
      </c>
      <c r="D129" s="20" t="s">
        <v>477</v>
      </c>
      <c r="E129" s="10">
        <v>145</v>
      </c>
      <c r="G129" s="4" t="s">
        <v>67</v>
      </c>
      <c r="H129" s="3">
        <v>1</v>
      </c>
      <c r="I129" s="2">
        <v>4.5</v>
      </c>
      <c r="J129" s="3" t="s">
        <v>209</v>
      </c>
      <c r="K129" s="5">
        <v>72</v>
      </c>
      <c r="L129" s="5">
        <v>72</v>
      </c>
      <c r="M129" s="5">
        <v>56</v>
      </c>
      <c r="N129" s="3">
        <v>8</v>
      </c>
      <c r="O129" s="21" t="s">
        <v>147</v>
      </c>
      <c r="P129" s="1" t="s">
        <v>383</v>
      </c>
      <c r="Q129" s="1" t="s">
        <v>487</v>
      </c>
      <c r="V129" s="63" t="s">
        <v>159</v>
      </c>
      <c r="W129" s="64" t="s">
        <v>149</v>
      </c>
      <c r="X129" s="63" t="s">
        <v>210</v>
      </c>
      <c r="Y129" s="64" t="s">
        <v>149</v>
      </c>
      <c r="Z129" s="63" t="s">
        <v>109</v>
      </c>
      <c r="AA129" s="64" t="s">
        <v>149</v>
      </c>
    </row>
    <row r="130" spans="1:28" ht="13.5">
      <c r="A130" s="2" t="s">
        <v>488</v>
      </c>
      <c r="B130" s="4" t="s">
        <v>29</v>
      </c>
      <c r="C130" s="6" t="s">
        <v>42</v>
      </c>
      <c r="D130" s="20" t="s">
        <v>489</v>
      </c>
      <c r="E130" s="10">
        <v>146</v>
      </c>
      <c r="F130" s="3">
        <v>2</v>
      </c>
      <c r="G130" s="4" t="s">
        <v>490</v>
      </c>
      <c r="H130" s="3">
        <v>1</v>
      </c>
      <c r="I130" s="2">
        <v>4</v>
      </c>
      <c r="J130" s="3" t="s">
        <v>93</v>
      </c>
      <c r="K130" s="5">
        <v>64</v>
      </c>
      <c r="L130" s="5">
        <v>64</v>
      </c>
      <c r="M130" s="5">
        <v>64</v>
      </c>
      <c r="N130" s="3">
        <f>(K130+M130)/16</f>
        <v>8</v>
      </c>
      <c r="O130" s="21" t="s">
        <v>35</v>
      </c>
      <c r="P130" s="2" t="s">
        <v>491</v>
      </c>
      <c r="Q130" s="25" t="s">
        <v>492</v>
      </c>
      <c r="R130" s="63" t="s">
        <v>49</v>
      </c>
      <c r="S130" s="64" t="s">
        <v>149</v>
      </c>
      <c r="X130" s="63" t="s">
        <v>411</v>
      </c>
      <c r="Y130" s="64" t="s">
        <v>149</v>
      </c>
    </row>
    <row r="131" spans="1:28" ht="13.5">
      <c r="A131" s="2" t="s">
        <v>493</v>
      </c>
      <c r="B131" s="4" t="s">
        <v>29</v>
      </c>
      <c r="C131" s="6" t="s">
        <v>42</v>
      </c>
      <c r="D131" s="20" t="s">
        <v>489</v>
      </c>
      <c r="E131" s="10">
        <v>146</v>
      </c>
      <c r="F131" s="3">
        <v>1</v>
      </c>
      <c r="G131" s="4" t="s">
        <v>494</v>
      </c>
      <c r="H131" s="3">
        <v>1</v>
      </c>
      <c r="I131" s="2">
        <v>4</v>
      </c>
      <c r="J131" s="3" t="s">
        <v>93</v>
      </c>
      <c r="K131" s="5">
        <v>64</v>
      </c>
      <c r="L131" s="5">
        <v>64</v>
      </c>
      <c r="M131" s="5">
        <v>64</v>
      </c>
      <c r="N131" s="3">
        <f>(K131+M131)/16</f>
        <v>8</v>
      </c>
      <c r="O131" s="21" t="s">
        <v>35</v>
      </c>
      <c r="P131" s="2" t="s">
        <v>94</v>
      </c>
      <c r="Q131" s="1" t="s">
        <v>95</v>
      </c>
      <c r="T131" s="63"/>
      <c r="U131" s="64"/>
      <c r="V131" s="2" t="s">
        <v>49</v>
      </c>
      <c r="W131" s="2" t="s">
        <v>50</v>
      </c>
      <c r="X131" s="63" t="s">
        <v>198</v>
      </c>
      <c r="Y131" s="64" t="s">
        <v>332</v>
      </c>
      <c r="AB131" s="71"/>
    </row>
    <row r="132" spans="1:28" ht="13.5">
      <c r="A132" s="2" t="s">
        <v>495</v>
      </c>
      <c r="B132" s="4" t="s">
        <v>29</v>
      </c>
      <c r="C132" s="1" t="s">
        <v>42</v>
      </c>
      <c r="D132" s="7" t="s">
        <v>496</v>
      </c>
      <c r="E132" s="10">
        <v>148</v>
      </c>
      <c r="G132" s="4" t="s">
        <v>137</v>
      </c>
      <c r="H132" s="3">
        <v>2</v>
      </c>
      <c r="I132" s="31">
        <v>2</v>
      </c>
      <c r="J132" s="3" t="s">
        <v>86</v>
      </c>
      <c r="K132" s="5">
        <f>L132/2</f>
        <v>32</v>
      </c>
      <c r="L132" s="5">
        <v>64</v>
      </c>
      <c r="M132" s="5">
        <v>64</v>
      </c>
      <c r="N132" s="3">
        <f>(L132+M132)/16</f>
        <v>8</v>
      </c>
      <c r="O132" s="3" t="s">
        <v>35</v>
      </c>
      <c r="P132" s="1" t="s">
        <v>383</v>
      </c>
      <c r="Q132" s="2" t="s">
        <v>487</v>
      </c>
      <c r="X132" s="63" t="s">
        <v>38</v>
      </c>
      <c r="Y132" s="64" t="s">
        <v>48</v>
      </c>
    </row>
    <row r="133" spans="1:28" ht="13.5">
      <c r="A133" s="2" t="s">
        <v>497</v>
      </c>
      <c r="B133" s="3" t="s">
        <v>29</v>
      </c>
      <c r="C133" s="6" t="s">
        <v>42</v>
      </c>
      <c r="D133" s="7" t="s">
        <v>498</v>
      </c>
      <c r="E133" s="10">
        <v>149</v>
      </c>
      <c r="G133" s="4" t="s">
        <v>184</v>
      </c>
      <c r="H133" s="3">
        <v>1</v>
      </c>
      <c r="I133" s="2">
        <v>4</v>
      </c>
      <c r="J133" s="4" t="s">
        <v>34</v>
      </c>
      <c r="K133" s="5">
        <v>64</v>
      </c>
      <c r="L133" s="5">
        <v>64</v>
      </c>
      <c r="M133" s="5">
        <v>64</v>
      </c>
      <c r="N133" s="8">
        <v>8</v>
      </c>
      <c r="O133" s="3" t="s">
        <v>176</v>
      </c>
      <c r="P133" s="2" t="s">
        <v>484</v>
      </c>
      <c r="Q133" s="1" t="s">
        <v>485</v>
      </c>
      <c r="T133" s="63" t="s">
        <v>96</v>
      </c>
      <c r="U133" s="64" t="s">
        <v>165</v>
      </c>
      <c r="X133" s="63" t="s">
        <v>411</v>
      </c>
      <c r="Y133" s="64" t="s">
        <v>122</v>
      </c>
    </row>
    <row r="134" spans="1:28" ht="13.5">
      <c r="A134" s="2" t="s">
        <v>499</v>
      </c>
      <c r="B134" s="4" t="s">
        <v>29</v>
      </c>
      <c r="C134" s="6" t="s">
        <v>42</v>
      </c>
      <c r="D134" s="7" t="s">
        <v>498</v>
      </c>
      <c r="E134" s="10">
        <v>150</v>
      </c>
      <c r="F134" s="3">
        <v>1</v>
      </c>
      <c r="G134" s="4" t="s">
        <v>190</v>
      </c>
      <c r="H134" s="3">
        <v>1</v>
      </c>
      <c r="I134" s="2">
        <v>4</v>
      </c>
      <c r="J134" s="4" t="s">
        <v>34</v>
      </c>
      <c r="K134" s="5">
        <v>64</v>
      </c>
      <c r="L134" s="5">
        <v>64</v>
      </c>
      <c r="M134" s="5">
        <v>64</v>
      </c>
      <c r="N134" s="8">
        <f>(L134+M134)/16</f>
        <v>8</v>
      </c>
      <c r="O134" s="3" t="s">
        <v>191</v>
      </c>
      <c r="P134" s="2" t="s">
        <v>100</v>
      </c>
      <c r="Q134" s="1" t="s">
        <v>101</v>
      </c>
      <c r="R134" s="63" t="s">
        <v>141</v>
      </c>
      <c r="S134" s="64" t="s">
        <v>56</v>
      </c>
      <c r="V134" s="63" t="s">
        <v>102</v>
      </c>
      <c r="W134" s="64" t="s">
        <v>40</v>
      </c>
    </row>
    <row r="135" spans="1:28" ht="13.5">
      <c r="A135" s="2" t="s">
        <v>500</v>
      </c>
      <c r="B135" s="4" t="s">
        <v>29</v>
      </c>
      <c r="C135" s="6" t="s">
        <v>42</v>
      </c>
      <c r="D135" s="7" t="s">
        <v>498</v>
      </c>
      <c r="E135" s="10">
        <v>150</v>
      </c>
      <c r="F135" s="3">
        <v>2</v>
      </c>
      <c r="G135" s="4" t="s">
        <v>190</v>
      </c>
      <c r="H135" s="3">
        <v>1</v>
      </c>
      <c r="I135" s="2">
        <v>4</v>
      </c>
      <c r="J135" s="4" t="s">
        <v>34</v>
      </c>
      <c r="K135" s="5">
        <v>64</v>
      </c>
      <c r="L135" s="5">
        <v>64</v>
      </c>
      <c r="M135" s="5">
        <v>64</v>
      </c>
      <c r="N135" s="8">
        <f>(L135+M135)/16</f>
        <v>8</v>
      </c>
      <c r="O135" s="3" t="s">
        <v>191</v>
      </c>
      <c r="P135" s="1" t="s">
        <v>501</v>
      </c>
      <c r="Q135" s="1" t="s">
        <v>502</v>
      </c>
      <c r="T135" s="63" t="s">
        <v>49</v>
      </c>
      <c r="U135" s="64" t="s">
        <v>332</v>
      </c>
      <c r="X135" s="63" t="s">
        <v>47</v>
      </c>
      <c r="Y135" s="64" t="s">
        <v>110</v>
      </c>
    </row>
    <row r="136" spans="1:28" ht="13.5">
      <c r="A136" s="2" t="s">
        <v>503</v>
      </c>
      <c r="B136" s="4" t="s">
        <v>29</v>
      </c>
      <c r="C136" s="6" t="s">
        <v>42</v>
      </c>
      <c r="D136" s="7" t="s">
        <v>498</v>
      </c>
      <c r="E136" s="10">
        <v>152</v>
      </c>
      <c r="F136" s="3">
        <v>1</v>
      </c>
      <c r="G136" s="4" t="s">
        <v>200</v>
      </c>
      <c r="H136" s="3">
        <v>1</v>
      </c>
      <c r="I136" s="2">
        <v>4</v>
      </c>
      <c r="J136" s="4" t="s">
        <v>34</v>
      </c>
      <c r="K136" s="5">
        <v>64</v>
      </c>
      <c r="L136" s="5">
        <v>64</v>
      </c>
      <c r="M136" s="5">
        <v>64</v>
      </c>
      <c r="N136" s="8">
        <v>8</v>
      </c>
      <c r="O136" s="3" t="s">
        <v>176</v>
      </c>
      <c r="P136" s="1" t="s">
        <v>501</v>
      </c>
      <c r="Q136" s="1" t="s">
        <v>502</v>
      </c>
      <c r="V136" s="63" t="s">
        <v>49</v>
      </c>
      <c r="W136" s="64" t="s">
        <v>204</v>
      </c>
      <c r="Z136" s="63" t="s">
        <v>198</v>
      </c>
      <c r="AA136" s="64" t="s">
        <v>48</v>
      </c>
    </row>
    <row r="137" spans="1:28" ht="13.5">
      <c r="A137" s="2" t="s">
        <v>504</v>
      </c>
      <c r="B137" s="4" t="s">
        <v>29</v>
      </c>
      <c r="C137" s="6" t="s">
        <v>42</v>
      </c>
      <c r="D137" s="7" t="s">
        <v>498</v>
      </c>
      <c r="E137" s="10">
        <v>152</v>
      </c>
      <c r="F137" s="3">
        <v>2</v>
      </c>
      <c r="G137" s="4" t="s">
        <v>200</v>
      </c>
      <c r="H137" s="3">
        <v>1</v>
      </c>
      <c r="I137" s="2">
        <v>4</v>
      </c>
      <c r="J137" s="4" t="s">
        <v>34</v>
      </c>
      <c r="K137" s="5">
        <v>64</v>
      </c>
      <c r="L137" s="5">
        <v>64</v>
      </c>
      <c r="M137" s="5">
        <v>64</v>
      </c>
      <c r="N137" s="8">
        <v>8</v>
      </c>
      <c r="O137" s="3" t="s">
        <v>176</v>
      </c>
      <c r="P137" s="1" t="s">
        <v>206</v>
      </c>
      <c r="Q137" s="1" t="s">
        <v>207</v>
      </c>
      <c r="V137" s="63" t="s">
        <v>49</v>
      </c>
      <c r="W137" s="64" t="s">
        <v>111</v>
      </c>
      <c r="Z137" s="63" t="s">
        <v>198</v>
      </c>
      <c r="AA137" s="64" t="s">
        <v>162</v>
      </c>
    </row>
    <row r="138" spans="1:28" ht="13.5">
      <c r="A138" s="2" t="s">
        <v>505</v>
      </c>
      <c r="B138" s="4" t="s">
        <v>29</v>
      </c>
      <c r="C138" s="6" t="s">
        <v>42</v>
      </c>
      <c r="D138" s="7" t="s">
        <v>498</v>
      </c>
      <c r="E138" s="10">
        <v>152</v>
      </c>
      <c r="F138" s="3">
        <v>3</v>
      </c>
      <c r="G138" s="4" t="s">
        <v>200</v>
      </c>
      <c r="H138" s="3">
        <v>1</v>
      </c>
      <c r="I138" s="2">
        <v>4</v>
      </c>
      <c r="J138" s="4" t="s">
        <v>34</v>
      </c>
      <c r="K138" s="5">
        <v>64</v>
      </c>
      <c r="L138" s="5">
        <v>64</v>
      </c>
      <c r="M138" s="5">
        <v>64</v>
      </c>
      <c r="N138" s="8">
        <v>8</v>
      </c>
      <c r="O138" s="3" t="s">
        <v>176</v>
      </c>
      <c r="P138" s="1" t="s">
        <v>480</v>
      </c>
      <c r="Q138" s="1" t="s">
        <v>481</v>
      </c>
      <c r="V138" s="63" t="s">
        <v>49</v>
      </c>
      <c r="W138" s="64" t="s">
        <v>122</v>
      </c>
      <c r="Z138" s="63" t="s">
        <v>198</v>
      </c>
      <c r="AA138" s="64" t="s">
        <v>64</v>
      </c>
    </row>
    <row r="139" spans="1:28" ht="22.5">
      <c r="A139" s="2" t="s">
        <v>506</v>
      </c>
      <c r="B139" s="4" t="s">
        <v>29</v>
      </c>
      <c r="C139" s="6" t="s">
        <v>42</v>
      </c>
      <c r="D139" s="20" t="s">
        <v>507</v>
      </c>
      <c r="E139" s="10">
        <v>155</v>
      </c>
      <c r="G139" s="4" t="s">
        <v>144</v>
      </c>
      <c r="H139" s="3" t="s">
        <v>508</v>
      </c>
      <c r="I139" s="2">
        <v>3.5</v>
      </c>
      <c r="J139" s="3" t="s">
        <v>146</v>
      </c>
      <c r="K139" s="5">
        <v>56</v>
      </c>
      <c r="L139" s="5">
        <v>56</v>
      </c>
      <c r="M139" s="5">
        <v>40</v>
      </c>
      <c r="N139" s="3">
        <v>6</v>
      </c>
      <c r="O139" s="21" t="s">
        <v>147</v>
      </c>
      <c r="P139" s="1" t="s">
        <v>480</v>
      </c>
      <c r="Q139" s="1" t="s">
        <v>481</v>
      </c>
      <c r="R139" s="63" t="s">
        <v>140</v>
      </c>
      <c r="S139" s="64" t="s">
        <v>50</v>
      </c>
      <c r="T139" s="63" t="s">
        <v>124</v>
      </c>
      <c r="U139" s="64" t="s">
        <v>122</v>
      </c>
    </row>
    <row r="140" spans="1:28" ht="22.5">
      <c r="A140" s="2" t="s">
        <v>509</v>
      </c>
      <c r="B140" s="3" t="s">
        <v>29</v>
      </c>
      <c r="C140" s="1" t="s">
        <v>42</v>
      </c>
      <c r="D140" s="7" t="s">
        <v>510</v>
      </c>
      <c r="E140" s="10">
        <v>156</v>
      </c>
      <c r="G140" s="4" t="s">
        <v>511</v>
      </c>
      <c r="H140" s="3">
        <v>1</v>
      </c>
      <c r="I140" s="2">
        <v>4.5</v>
      </c>
      <c r="J140" s="4" t="s">
        <v>34</v>
      </c>
      <c r="K140" s="5">
        <v>72</v>
      </c>
      <c r="L140" s="5">
        <v>72</v>
      </c>
      <c r="M140" s="5">
        <v>56</v>
      </c>
      <c r="N140" s="8">
        <v>8</v>
      </c>
      <c r="O140" s="3" t="s">
        <v>176</v>
      </c>
      <c r="P140" s="1" t="s">
        <v>309</v>
      </c>
      <c r="Q140" s="1" t="s">
        <v>310</v>
      </c>
      <c r="R140" s="63" t="s">
        <v>161</v>
      </c>
      <c r="S140" s="64" t="s">
        <v>64</v>
      </c>
      <c r="X140" s="63" t="s">
        <v>109</v>
      </c>
      <c r="Y140" s="64" t="s">
        <v>64</v>
      </c>
      <c r="Z140" s="63" t="s">
        <v>109</v>
      </c>
      <c r="AA140" s="64" t="s">
        <v>64</v>
      </c>
    </row>
    <row r="141" spans="1:28" ht="13.5">
      <c r="A141" s="2" t="s">
        <v>512</v>
      </c>
      <c r="B141" s="4" t="s">
        <v>29</v>
      </c>
      <c r="C141" s="6" t="s">
        <v>42</v>
      </c>
      <c r="D141" s="7" t="s">
        <v>513</v>
      </c>
      <c r="E141" s="10">
        <v>157</v>
      </c>
      <c r="G141" s="4" t="s">
        <v>59</v>
      </c>
      <c r="H141" s="3">
        <v>9</v>
      </c>
      <c r="I141" s="2">
        <v>4.5</v>
      </c>
      <c r="J141" s="3" t="s">
        <v>34</v>
      </c>
      <c r="K141" s="5">
        <v>72</v>
      </c>
      <c r="L141" s="5">
        <v>72</v>
      </c>
      <c r="M141" s="5">
        <v>40</v>
      </c>
      <c r="N141" s="3">
        <f>(K141+M141)/16</f>
        <v>7</v>
      </c>
      <c r="O141" s="3" t="s">
        <v>35</v>
      </c>
      <c r="P141" s="6" t="s">
        <v>219</v>
      </c>
      <c r="Q141" s="1" t="s">
        <v>220</v>
      </c>
      <c r="R141" s="63" t="s">
        <v>154</v>
      </c>
      <c r="S141" s="64" t="s">
        <v>408</v>
      </c>
      <c r="V141" s="63" t="s">
        <v>249</v>
      </c>
      <c r="W141" s="64" t="s">
        <v>408</v>
      </c>
      <c r="X141" s="63" t="s">
        <v>268</v>
      </c>
      <c r="Y141" s="64" t="s">
        <v>408</v>
      </c>
    </row>
    <row r="142" spans="1:28" ht="13.5">
      <c r="A142" s="2" t="s">
        <v>514</v>
      </c>
      <c r="B142" s="4" t="s">
        <v>29</v>
      </c>
      <c r="C142" s="25" t="s">
        <v>42</v>
      </c>
      <c r="D142" s="7" t="s">
        <v>515</v>
      </c>
      <c r="E142" s="10">
        <v>158</v>
      </c>
      <c r="F142" s="3">
        <v>1</v>
      </c>
      <c r="G142" s="4" t="s">
        <v>175</v>
      </c>
      <c r="H142" s="3">
        <v>1</v>
      </c>
      <c r="I142" s="2">
        <v>3</v>
      </c>
      <c r="J142" s="4" t="s">
        <v>34</v>
      </c>
      <c r="K142" s="5">
        <v>48</v>
      </c>
      <c r="L142" s="23">
        <v>48</v>
      </c>
      <c r="M142" s="23">
        <v>48</v>
      </c>
      <c r="N142" s="4">
        <v>6</v>
      </c>
      <c r="O142" s="7" t="s">
        <v>176</v>
      </c>
      <c r="P142" s="1" t="s">
        <v>516</v>
      </c>
      <c r="Q142" s="1" t="s">
        <v>517</v>
      </c>
      <c r="V142" s="63" t="s">
        <v>109</v>
      </c>
      <c r="W142" s="64" t="s">
        <v>215</v>
      </c>
      <c r="X142" s="63" t="s">
        <v>148</v>
      </c>
      <c r="Y142" s="64" t="s">
        <v>215</v>
      </c>
      <c r="AB142" s="72"/>
    </row>
    <row r="143" spans="1:28" ht="23.1" customHeight="1">
      <c r="A143" s="2" t="s">
        <v>518</v>
      </c>
      <c r="B143" s="4" t="s">
        <v>29</v>
      </c>
      <c r="C143" s="25" t="s">
        <v>42</v>
      </c>
      <c r="D143" s="7" t="s">
        <v>515</v>
      </c>
      <c r="E143" s="10">
        <v>158</v>
      </c>
      <c r="F143" s="3">
        <v>2</v>
      </c>
      <c r="G143" s="4" t="s">
        <v>175</v>
      </c>
      <c r="H143" s="3">
        <v>1</v>
      </c>
      <c r="I143" s="2">
        <v>3</v>
      </c>
      <c r="J143" s="4" t="s">
        <v>34</v>
      </c>
      <c r="K143" s="5">
        <v>48</v>
      </c>
      <c r="L143" s="23">
        <v>48</v>
      </c>
      <c r="M143" s="23">
        <v>48</v>
      </c>
      <c r="N143" s="4">
        <v>6</v>
      </c>
      <c r="O143" s="7" t="s">
        <v>176</v>
      </c>
      <c r="P143" s="1" t="s">
        <v>516</v>
      </c>
      <c r="Q143" s="1" t="s">
        <v>517</v>
      </c>
      <c r="R143" s="63" t="s">
        <v>109</v>
      </c>
      <c r="S143" s="64" t="s">
        <v>215</v>
      </c>
      <c r="V143" s="63"/>
      <c r="W143" s="64"/>
      <c r="X143" s="2" t="s">
        <v>210</v>
      </c>
      <c r="Y143" s="2" t="s">
        <v>226</v>
      </c>
      <c r="AB143" s="72"/>
    </row>
    <row r="144" spans="1:28" ht="13.5">
      <c r="A144" s="2" t="s">
        <v>519</v>
      </c>
      <c r="B144" s="4" t="s">
        <v>29</v>
      </c>
      <c r="C144" s="25" t="s">
        <v>42</v>
      </c>
      <c r="D144" s="7" t="s">
        <v>515</v>
      </c>
      <c r="E144" s="10">
        <v>158</v>
      </c>
      <c r="F144" s="3">
        <v>3</v>
      </c>
      <c r="G144" s="4" t="s">
        <v>175</v>
      </c>
      <c r="H144" s="3">
        <v>1</v>
      </c>
      <c r="I144" s="2">
        <v>3</v>
      </c>
      <c r="J144" s="4" t="s">
        <v>34</v>
      </c>
      <c r="K144" s="5">
        <v>48</v>
      </c>
      <c r="L144" s="23">
        <v>48</v>
      </c>
      <c r="M144" s="23">
        <v>48</v>
      </c>
      <c r="N144" s="4">
        <v>6</v>
      </c>
      <c r="O144" s="7" t="s">
        <v>176</v>
      </c>
      <c r="P144" s="1" t="s">
        <v>520</v>
      </c>
      <c r="Q144" s="1" t="s">
        <v>521</v>
      </c>
      <c r="R144" s="63" t="s">
        <v>109</v>
      </c>
      <c r="S144" s="64" t="s">
        <v>257</v>
      </c>
      <c r="X144" s="63" t="s">
        <v>109</v>
      </c>
      <c r="Y144" s="64" t="s">
        <v>257</v>
      </c>
      <c r="AB144" s="72"/>
    </row>
    <row r="145" spans="1:28" ht="12.75">
      <c r="A145" s="2" t="s">
        <v>522</v>
      </c>
      <c r="B145" s="4" t="s">
        <v>29</v>
      </c>
      <c r="C145" s="25" t="s">
        <v>42</v>
      </c>
      <c r="D145" s="7" t="s">
        <v>515</v>
      </c>
      <c r="E145" s="10">
        <v>158</v>
      </c>
      <c r="F145" s="3">
        <v>4</v>
      </c>
      <c r="G145" s="4" t="s">
        <v>523</v>
      </c>
      <c r="H145" s="3">
        <v>1</v>
      </c>
      <c r="I145" s="2">
        <v>3</v>
      </c>
      <c r="J145" s="4" t="s">
        <v>34</v>
      </c>
      <c r="K145" s="5">
        <v>48</v>
      </c>
      <c r="L145" s="23">
        <v>48</v>
      </c>
      <c r="M145" s="23">
        <v>48</v>
      </c>
      <c r="N145" s="4">
        <v>6</v>
      </c>
      <c r="O145" s="7" t="s">
        <v>176</v>
      </c>
      <c r="P145" s="30" t="s">
        <v>288</v>
      </c>
      <c r="Q145" s="1" t="s">
        <v>289</v>
      </c>
      <c r="R145" s="63"/>
      <c r="S145" s="64"/>
      <c r="V145" s="2" t="s">
        <v>524</v>
      </c>
      <c r="W145" s="2" t="s">
        <v>215</v>
      </c>
      <c r="X145" s="63"/>
      <c r="Y145" s="64"/>
      <c r="AB145" s="72"/>
    </row>
    <row r="146" spans="1:28" ht="13.5">
      <c r="A146" s="2" t="s">
        <v>525</v>
      </c>
      <c r="B146" s="4" t="s">
        <v>29</v>
      </c>
      <c r="C146" s="1" t="s">
        <v>42</v>
      </c>
      <c r="D146" s="7" t="s">
        <v>526</v>
      </c>
      <c r="E146" s="10">
        <v>162</v>
      </c>
      <c r="G146" s="4" t="s">
        <v>106</v>
      </c>
      <c r="H146" s="3">
        <v>4</v>
      </c>
      <c r="I146" s="2">
        <v>2.5</v>
      </c>
      <c r="J146" s="3" t="s">
        <v>86</v>
      </c>
      <c r="K146" s="5">
        <f>L146/2</f>
        <v>40</v>
      </c>
      <c r="L146" s="5">
        <v>80</v>
      </c>
      <c r="M146" s="5">
        <v>48</v>
      </c>
      <c r="N146" s="3">
        <f>(L146+M146)/16</f>
        <v>8</v>
      </c>
      <c r="O146" s="3" t="s">
        <v>35</v>
      </c>
      <c r="P146" s="2" t="s">
        <v>527</v>
      </c>
      <c r="Q146" s="2" t="s">
        <v>528</v>
      </c>
      <c r="T146" s="63" t="s">
        <v>529</v>
      </c>
      <c r="U146" s="64" t="s">
        <v>165</v>
      </c>
    </row>
    <row r="147" spans="1:28" ht="13.5">
      <c r="A147" s="2" t="s">
        <v>530</v>
      </c>
      <c r="B147" s="4" t="s">
        <v>29</v>
      </c>
      <c r="C147" s="6" t="s">
        <v>42</v>
      </c>
      <c r="D147" s="7" t="s">
        <v>526</v>
      </c>
      <c r="E147" s="10">
        <v>163</v>
      </c>
      <c r="G147" s="4" t="s">
        <v>137</v>
      </c>
      <c r="H147" s="3">
        <v>6</v>
      </c>
      <c r="I147" s="2">
        <v>2</v>
      </c>
      <c r="J147" s="3" t="s">
        <v>86</v>
      </c>
      <c r="K147" s="5">
        <v>32</v>
      </c>
      <c r="L147" s="5">
        <v>64</v>
      </c>
      <c r="M147" s="5">
        <v>64</v>
      </c>
      <c r="N147" s="3">
        <v>8</v>
      </c>
      <c r="O147" s="3" t="s">
        <v>35</v>
      </c>
      <c r="P147" s="1" t="s">
        <v>531</v>
      </c>
      <c r="Q147" s="2" t="s">
        <v>532</v>
      </c>
      <c r="X147" s="63" t="s">
        <v>140</v>
      </c>
      <c r="Y147" s="64" t="s">
        <v>160</v>
      </c>
    </row>
    <row r="148" spans="1:28" ht="13.5">
      <c r="A148" s="2" t="s">
        <v>533</v>
      </c>
      <c r="B148" s="4" t="s">
        <v>29</v>
      </c>
      <c r="C148" s="6" t="s">
        <v>42</v>
      </c>
      <c r="D148" s="7" t="s">
        <v>526</v>
      </c>
      <c r="E148" s="10">
        <v>164</v>
      </c>
      <c r="F148" s="3">
        <v>1</v>
      </c>
      <c r="G148" s="4" t="s">
        <v>44</v>
      </c>
      <c r="H148" s="3">
        <v>5</v>
      </c>
      <c r="I148" s="12">
        <v>4</v>
      </c>
      <c r="J148" s="3" t="s">
        <v>34</v>
      </c>
      <c r="K148" s="5">
        <v>72</v>
      </c>
      <c r="L148" s="5">
        <v>72</v>
      </c>
      <c r="M148" s="5">
        <v>40</v>
      </c>
      <c r="N148" s="3">
        <f>(K148+M148)/16</f>
        <v>7</v>
      </c>
      <c r="O148" s="3" t="s">
        <v>35</v>
      </c>
      <c r="P148" s="1" t="s">
        <v>45</v>
      </c>
      <c r="Q148" s="1" t="s">
        <v>478</v>
      </c>
      <c r="R148" s="63" t="s">
        <v>411</v>
      </c>
      <c r="S148" s="64" t="s">
        <v>165</v>
      </c>
      <c r="X148" s="63" t="s">
        <v>411</v>
      </c>
      <c r="Y148" s="64" t="s">
        <v>111</v>
      </c>
    </row>
    <row r="149" spans="1:28" ht="13.5">
      <c r="A149" s="2" t="s">
        <v>534</v>
      </c>
      <c r="B149" s="4" t="s">
        <v>29</v>
      </c>
      <c r="C149" s="6" t="s">
        <v>42</v>
      </c>
      <c r="D149" s="7" t="s">
        <v>526</v>
      </c>
      <c r="E149" s="10">
        <v>164</v>
      </c>
      <c r="F149" s="3">
        <v>2</v>
      </c>
      <c r="G149" s="4" t="s">
        <v>44</v>
      </c>
      <c r="H149" s="3">
        <v>5</v>
      </c>
      <c r="I149" s="12">
        <v>4</v>
      </c>
      <c r="J149" s="3" t="s">
        <v>34</v>
      </c>
      <c r="K149" s="5">
        <v>72</v>
      </c>
      <c r="L149" s="5">
        <v>72</v>
      </c>
      <c r="M149" s="5">
        <v>40</v>
      </c>
      <c r="N149" s="3">
        <f>(K149+M149)/16</f>
        <v>7</v>
      </c>
      <c r="O149" s="3" t="s">
        <v>35</v>
      </c>
      <c r="P149" s="1" t="s">
        <v>206</v>
      </c>
      <c r="Q149" s="1" t="s">
        <v>207</v>
      </c>
      <c r="R149" s="63" t="s">
        <v>411</v>
      </c>
      <c r="S149" s="64" t="s">
        <v>204</v>
      </c>
      <c r="X149" s="63" t="s">
        <v>411</v>
      </c>
      <c r="Y149" s="64" t="s">
        <v>165</v>
      </c>
    </row>
    <row r="150" spans="1:28" ht="13.5">
      <c r="A150" s="2" t="s">
        <v>535</v>
      </c>
      <c r="B150" s="4" t="s">
        <v>29</v>
      </c>
      <c r="C150" s="6" t="s">
        <v>42</v>
      </c>
      <c r="D150" s="7" t="s">
        <v>526</v>
      </c>
      <c r="E150" s="10">
        <v>164</v>
      </c>
      <c r="F150" s="3">
        <v>3</v>
      </c>
      <c r="G150" s="4" t="s">
        <v>536</v>
      </c>
      <c r="H150" s="3" t="s">
        <v>537</v>
      </c>
      <c r="I150" s="12">
        <v>4</v>
      </c>
      <c r="J150" s="3" t="s">
        <v>538</v>
      </c>
      <c r="K150" s="5">
        <v>72</v>
      </c>
      <c r="L150" s="5">
        <v>72</v>
      </c>
      <c r="M150" s="5">
        <v>40</v>
      </c>
      <c r="N150" s="3">
        <f>(K150+M150)/16</f>
        <v>7</v>
      </c>
      <c r="O150" s="3" t="s">
        <v>35</v>
      </c>
      <c r="P150" s="1" t="s">
        <v>432</v>
      </c>
      <c r="Q150" s="1" t="s">
        <v>433</v>
      </c>
      <c r="R150" s="63" t="s">
        <v>411</v>
      </c>
      <c r="S150" s="64" t="s">
        <v>110</v>
      </c>
      <c r="X150" s="63" t="s">
        <v>411</v>
      </c>
      <c r="Y150" s="64" t="s">
        <v>73</v>
      </c>
    </row>
    <row r="151" spans="1:28" ht="13.5">
      <c r="A151" s="2" t="s">
        <v>539</v>
      </c>
      <c r="B151" s="4" t="s">
        <v>29</v>
      </c>
      <c r="C151" s="6" t="s">
        <v>42</v>
      </c>
      <c r="D151" s="20" t="s">
        <v>526</v>
      </c>
      <c r="E151" s="10">
        <v>167</v>
      </c>
      <c r="G151" s="4" t="s">
        <v>77</v>
      </c>
      <c r="H151" s="3">
        <v>5</v>
      </c>
      <c r="I151" s="2">
        <v>5.5</v>
      </c>
      <c r="J151" s="3" t="s">
        <v>78</v>
      </c>
      <c r="K151" s="5">
        <v>82.5</v>
      </c>
      <c r="L151" s="5">
        <v>82.5</v>
      </c>
      <c r="N151" s="3">
        <v>11</v>
      </c>
      <c r="O151" s="21" t="s">
        <v>79</v>
      </c>
      <c r="P151" s="29" t="s">
        <v>540</v>
      </c>
      <c r="Q151" s="1" t="s">
        <v>541</v>
      </c>
      <c r="R151" s="63" t="s">
        <v>542</v>
      </c>
      <c r="S151" s="64" t="s">
        <v>332</v>
      </c>
      <c r="V151" s="63" t="s">
        <v>71</v>
      </c>
      <c r="W151" s="64" t="s">
        <v>149</v>
      </c>
      <c r="X151" s="63" t="s">
        <v>63</v>
      </c>
      <c r="Y151" s="64" t="s">
        <v>160</v>
      </c>
    </row>
    <row r="152" spans="1:28" ht="13.5">
      <c r="A152" s="2" t="s">
        <v>543</v>
      </c>
      <c r="B152" s="4" t="s">
        <v>29</v>
      </c>
      <c r="C152" s="6" t="s">
        <v>42</v>
      </c>
      <c r="D152" s="20" t="s">
        <v>526</v>
      </c>
      <c r="E152" s="10">
        <v>167</v>
      </c>
      <c r="G152" s="4" t="s">
        <v>67</v>
      </c>
      <c r="H152" s="3">
        <v>5</v>
      </c>
      <c r="I152" s="18">
        <v>4.5</v>
      </c>
      <c r="J152" s="3" t="s">
        <v>34</v>
      </c>
      <c r="K152" s="5">
        <v>72</v>
      </c>
      <c r="L152" s="5">
        <v>72</v>
      </c>
      <c r="M152" s="5">
        <v>56</v>
      </c>
      <c r="N152" s="3">
        <v>8</v>
      </c>
      <c r="O152" s="21" t="s">
        <v>68</v>
      </c>
      <c r="P152" s="1" t="s">
        <v>223</v>
      </c>
      <c r="Q152" s="1" t="s">
        <v>224</v>
      </c>
      <c r="R152" s="63" t="s">
        <v>276</v>
      </c>
      <c r="S152" s="64" t="s">
        <v>429</v>
      </c>
      <c r="V152" s="63" t="s">
        <v>237</v>
      </c>
      <c r="W152" s="64" t="s">
        <v>40</v>
      </c>
      <c r="Z152" s="63" t="s">
        <v>268</v>
      </c>
      <c r="AA152" s="64" t="s">
        <v>56</v>
      </c>
    </row>
    <row r="153" spans="1:28" ht="13.5">
      <c r="A153" s="2" t="s">
        <v>544</v>
      </c>
      <c r="B153" s="4" t="s">
        <v>29</v>
      </c>
      <c r="C153" s="6" t="s">
        <v>42</v>
      </c>
      <c r="D153" s="20" t="s">
        <v>545</v>
      </c>
      <c r="E153" s="10">
        <v>169</v>
      </c>
      <c r="G153" s="4" t="s">
        <v>137</v>
      </c>
      <c r="H153" s="24">
        <v>3</v>
      </c>
      <c r="I153" s="2">
        <v>4</v>
      </c>
      <c r="J153" s="3" t="s">
        <v>34</v>
      </c>
      <c r="K153" s="5">
        <v>64</v>
      </c>
      <c r="L153" s="5">
        <v>64</v>
      </c>
      <c r="M153" s="5">
        <v>64</v>
      </c>
      <c r="N153" s="3">
        <f>(K153+M153)/16</f>
        <v>8</v>
      </c>
      <c r="O153" s="21" t="s">
        <v>35</v>
      </c>
      <c r="P153" s="2" t="s">
        <v>546</v>
      </c>
      <c r="Q153" s="2" t="s">
        <v>547</v>
      </c>
      <c r="T153" s="63" t="s">
        <v>140</v>
      </c>
      <c r="U153" s="64" t="s">
        <v>215</v>
      </c>
      <c r="X153" s="63" t="s">
        <v>198</v>
      </c>
      <c r="Y153" s="64" t="s">
        <v>215</v>
      </c>
      <c r="AB153" s="72"/>
    </row>
    <row r="154" spans="1:28" ht="13.5">
      <c r="A154" s="2" t="s">
        <v>548</v>
      </c>
      <c r="B154" s="4" t="s">
        <v>29</v>
      </c>
      <c r="C154" s="6" t="s">
        <v>42</v>
      </c>
      <c r="D154" s="7" t="s">
        <v>549</v>
      </c>
      <c r="E154" s="10">
        <v>170</v>
      </c>
      <c r="F154" s="3">
        <v>1</v>
      </c>
      <c r="G154" s="4" t="s">
        <v>44</v>
      </c>
      <c r="H154" s="3">
        <v>7</v>
      </c>
      <c r="I154" s="18">
        <v>4</v>
      </c>
      <c r="J154" s="3" t="s">
        <v>34</v>
      </c>
      <c r="K154" s="5">
        <v>64</v>
      </c>
      <c r="L154" s="5">
        <v>64</v>
      </c>
      <c r="M154" s="5">
        <v>32</v>
      </c>
      <c r="N154" s="3">
        <f>(K154+M154)/16</f>
        <v>6</v>
      </c>
      <c r="O154" s="3" t="s">
        <v>35</v>
      </c>
      <c r="P154" s="2" t="s">
        <v>550</v>
      </c>
      <c r="Q154" s="1" t="s">
        <v>551</v>
      </c>
      <c r="R154" s="63" t="s">
        <v>55</v>
      </c>
      <c r="S154" s="64" t="s">
        <v>257</v>
      </c>
      <c r="Z154" s="63" t="s">
        <v>164</v>
      </c>
      <c r="AA154" s="64" t="s">
        <v>64</v>
      </c>
    </row>
    <row r="155" spans="1:28" ht="13.5">
      <c r="A155" s="2" t="s">
        <v>552</v>
      </c>
      <c r="B155" s="4" t="s">
        <v>29</v>
      </c>
      <c r="C155" s="6" t="s">
        <v>42</v>
      </c>
      <c r="D155" s="7" t="s">
        <v>549</v>
      </c>
      <c r="E155" s="10">
        <v>170</v>
      </c>
      <c r="F155" s="3">
        <v>2</v>
      </c>
      <c r="G155" s="4" t="s">
        <v>44</v>
      </c>
      <c r="H155" s="3">
        <v>7</v>
      </c>
      <c r="I155" s="18">
        <v>4</v>
      </c>
      <c r="J155" s="3" t="s">
        <v>34</v>
      </c>
      <c r="K155" s="5">
        <v>64</v>
      </c>
      <c r="L155" s="5">
        <v>64</v>
      </c>
      <c r="M155" s="5">
        <v>32</v>
      </c>
      <c r="N155" s="3">
        <f>(K155+M155)/16</f>
        <v>6</v>
      </c>
      <c r="O155" s="3" t="s">
        <v>35</v>
      </c>
      <c r="P155" s="1" t="s">
        <v>60</v>
      </c>
      <c r="Q155" s="1" t="s">
        <v>61</v>
      </c>
      <c r="R155" s="63" t="s">
        <v>38</v>
      </c>
      <c r="S155" s="64" t="s">
        <v>162</v>
      </c>
      <c r="X155" s="63" t="s">
        <v>411</v>
      </c>
      <c r="Y155" s="64" t="s">
        <v>226</v>
      </c>
    </row>
    <row r="156" spans="1:28" ht="13.5">
      <c r="A156" s="2" t="s">
        <v>553</v>
      </c>
      <c r="B156" s="4" t="s">
        <v>29</v>
      </c>
      <c r="C156" s="6" t="s">
        <v>42</v>
      </c>
      <c r="D156" s="7" t="s">
        <v>554</v>
      </c>
      <c r="E156" s="10">
        <v>172</v>
      </c>
      <c r="F156" s="3">
        <v>1</v>
      </c>
      <c r="G156" s="4" t="s">
        <v>555</v>
      </c>
      <c r="H156" s="3" t="s">
        <v>556</v>
      </c>
      <c r="I156" s="2">
        <v>4.5</v>
      </c>
      <c r="J156" s="3" t="s">
        <v>34</v>
      </c>
      <c r="K156" s="5">
        <v>72</v>
      </c>
      <c r="L156" s="5">
        <v>72</v>
      </c>
      <c r="M156" s="5">
        <v>56</v>
      </c>
      <c r="N156" s="3">
        <f>(K156+M156)/16</f>
        <v>8</v>
      </c>
      <c r="O156" s="3" t="s">
        <v>35</v>
      </c>
      <c r="P156" s="1" t="s">
        <v>557</v>
      </c>
      <c r="Q156" s="1" t="s">
        <v>558</v>
      </c>
      <c r="R156" s="63" t="s">
        <v>38</v>
      </c>
      <c r="S156" s="64" t="s">
        <v>257</v>
      </c>
      <c r="V156" s="63" t="s">
        <v>559</v>
      </c>
      <c r="W156" s="64" t="s">
        <v>257</v>
      </c>
    </row>
    <row r="157" spans="1:28" ht="13.5">
      <c r="A157" s="2" t="s">
        <v>560</v>
      </c>
      <c r="B157" s="4" t="s">
        <v>29</v>
      </c>
      <c r="C157" s="6" t="s">
        <v>42</v>
      </c>
      <c r="D157" s="7" t="s">
        <v>554</v>
      </c>
      <c r="E157" s="10">
        <v>172</v>
      </c>
      <c r="F157" s="3">
        <v>2</v>
      </c>
      <c r="G157" s="4" t="s">
        <v>59</v>
      </c>
      <c r="H157" s="3" t="s">
        <v>556</v>
      </c>
      <c r="I157" s="2">
        <v>4.5</v>
      </c>
      <c r="J157" s="3" t="s">
        <v>34</v>
      </c>
      <c r="K157" s="5">
        <v>72</v>
      </c>
      <c r="L157" s="5">
        <v>72</v>
      </c>
      <c r="M157" s="5">
        <v>56</v>
      </c>
      <c r="N157" s="3">
        <f>(K157+M157)/16</f>
        <v>8</v>
      </c>
      <c r="O157" s="3" t="s">
        <v>35</v>
      </c>
      <c r="P157" s="1" t="s">
        <v>557</v>
      </c>
      <c r="Q157" s="1" t="s">
        <v>558</v>
      </c>
      <c r="R157" s="63" t="s">
        <v>49</v>
      </c>
      <c r="S157" s="64" t="s">
        <v>408</v>
      </c>
      <c r="Z157" s="63" t="s">
        <v>164</v>
      </c>
      <c r="AA157" s="64" t="s">
        <v>429</v>
      </c>
    </row>
    <row r="158" spans="1:28" ht="13.5">
      <c r="A158" s="2" t="s">
        <v>561</v>
      </c>
      <c r="B158" s="4" t="s">
        <v>29</v>
      </c>
      <c r="C158" s="1" t="s">
        <v>42</v>
      </c>
      <c r="D158" s="7" t="s">
        <v>562</v>
      </c>
      <c r="E158" s="10">
        <v>174</v>
      </c>
      <c r="G158" s="4" t="s">
        <v>44</v>
      </c>
      <c r="H158" s="3">
        <v>6</v>
      </c>
      <c r="I158" s="2">
        <v>2.5</v>
      </c>
      <c r="J158" s="3" t="s">
        <v>86</v>
      </c>
      <c r="K158" s="5">
        <f>L158/2</f>
        <v>36</v>
      </c>
      <c r="L158" s="5">
        <v>72</v>
      </c>
      <c r="M158" s="5">
        <v>40</v>
      </c>
      <c r="N158" s="3">
        <f>(L158+M158)/16</f>
        <v>7</v>
      </c>
      <c r="O158" s="3" t="s">
        <v>35</v>
      </c>
      <c r="P158" s="1" t="s">
        <v>456</v>
      </c>
      <c r="Q158" s="1" t="s">
        <v>457</v>
      </c>
      <c r="Z158" s="63" t="s">
        <v>563</v>
      </c>
      <c r="AA158" s="64" t="s">
        <v>160</v>
      </c>
    </row>
    <row r="159" spans="1:28" ht="13.5">
      <c r="A159" s="2" t="s">
        <v>564</v>
      </c>
      <c r="B159" s="4" t="s">
        <v>29</v>
      </c>
      <c r="C159" s="6" t="s">
        <v>42</v>
      </c>
      <c r="D159" s="7" t="s">
        <v>565</v>
      </c>
      <c r="E159" s="10">
        <v>175</v>
      </c>
      <c r="F159" s="3">
        <v>1</v>
      </c>
      <c r="G159" s="4" t="s">
        <v>190</v>
      </c>
      <c r="H159" s="3">
        <v>1</v>
      </c>
      <c r="I159" s="2">
        <v>1.5</v>
      </c>
      <c r="J159" s="4" t="s">
        <v>34</v>
      </c>
      <c r="K159" s="5">
        <v>24</v>
      </c>
      <c r="L159" s="5">
        <v>24</v>
      </c>
      <c r="M159" s="5">
        <v>40</v>
      </c>
      <c r="N159" s="8">
        <f>(L159+M159)/16</f>
        <v>4</v>
      </c>
      <c r="O159" s="3" t="s">
        <v>191</v>
      </c>
      <c r="P159" s="1" t="s">
        <v>566</v>
      </c>
      <c r="Q159" s="1" t="s">
        <v>567</v>
      </c>
      <c r="T159" s="63" t="s">
        <v>72</v>
      </c>
      <c r="U159" s="64" t="s">
        <v>226</v>
      </c>
    </row>
    <row r="160" spans="1:28" ht="13.5">
      <c r="A160" s="2" t="s">
        <v>568</v>
      </c>
      <c r="B160" s="4" t="s">
        <v>29</v>
      </c>
      <c r="C160" s="6" t="s">
        <v>42</v>
      </c>
      <c r="D160" s="7" t="s">
        <v>565</v>
      </c>
      <c r="E160" s="10">
        <v>175</v>
      </c>
      <c r="F160" s="3">
        <v>2</v>
      </c>
      <c r="G160" s="4" t="s">
        <v>190</v>
      </c>
      <c r="H160" s="3">
        <v>1</v>
      </c>
      <c r="I160" s="2">
        <v>1.5</v>
      </c>
      <c r="J160" s="4" t="s">
        <v>34</v>
      </c>
      <c r="K160" s="5">
        <v>24</v>
      </c>
      <c r="L160" s="5">
        <v>24</v>
      </c>
      <c r="M160" s="5">
        <v>40</v>
      </c>
      <c r="N160" s="8">
        <f>(L160+M160)/16</f>
        <v>4</v>
      </c>
      <c r="O160" s="3" t="s">
        <v>191</v>
      </c>
      <c r="P160" s="1" t="s">
        <v>566</v>
      </c>
      <c r="Q160" s="1" t="s">
        <v>567</v>
      </c>
      <c r="X160" s="63" t="s">
        <v>148</v>
      </c>
      <c r="Y160" s="64" t="s">
        <v>226</v>
      </c>
    </row>
    <row r="161" spans="1:28" s="7" customFormat="1" ht="13.5" customHeight="1">
      <c r="A161" s="7" t="s">
        <v>569</v>
      </c>
      <c r="B161" s="4" t="s">
        <v>29</v>
      </c>
      <c r="C161" s="6" t="s">
        <v>42</v>
      </c>
      <c r="D161" s="32" t="s">
        <v>570</v>
      </c>
      <c r="E161" s="10">
        <v>177</v>
      </c>
      <c r="F161" s="3"/>
      <c r="G161" s="4" t="s">
        <v>137</v>
      </c>
      <c r="H161" s="3">
        <v>7</v>
      </c>
      <c r="I161" s="2">
        <v>4</v>
      </c>
      <c r="J161" s="3" t="s">
        <v>34</v>
      </c>
      <c r="K161" s="5">
        <v>64</v>
      </c>
      <c r="L161" s="5">
        <v>64</v>
      </c>
      <c r="M161" s="5">
        <v>64</v>
      </c>
      <c r="N161" s="3">
        <f>(K161+M161)/16</f>
        <v>8</v>
      </c>
      <c r="O161" s="21" t="s">
        <v>35</v>
      </c>
      <c r="P161" s="2" t="s">
        <v>393</v>
      </c>
      <c r="Q161" s="2" t="s">
        <v>394</v>
      </c>
      <c r="R161" s="63" t="s">
        <v>38</v>
      </c>
      <c r="S161" s="64" t="s">
        <v>50</v>
      </c>
      <c r="T161" s="2"/>
      <c r="V161" s="63" t="s">
        <v>55</v>
      </c>
      <c r="W161" s="64" t="s">
        <v>111</v>
      </c>
    </row>
    <row r="162" spans="1:28" ht="13.5">
      <c r="A162" s="2" t="s">
        <v>571</v>
      </c>
      <c r="B162" s="4" t="s">
        <v>29</v>
      </c>
      <c r="C162" s="25" t="s">
        <v>42</v>
      </c>
      <c r="D162" s="7" t="s">
        <v>572</v>
      </c>
      <c r="E162" s="10">
        <v>178</v>
      </c>
      <c r="F162" s="3">
        <v>1</v>
      </c>
      <c r="G162" s="4" t="s">
        <v>175</v>
      </c>
      <c r="H162" s="3">
        <v>1</v>
      </c>
      <c r="I162" s="2">
        <v>3</v>
      </c>
      <c r="J162" s="4" t="s">
        <v>34</v>
      </c>
      <c r="K162" s="5">
        <v>48</v>
      </c>
      <c r="L162" s="5">
        <v>48</v>
      </c>
      <c r="M162" s="5">
        <v>48</v>
      </c>
      <c r="N162" s="8">
        <v>6</v>
      </c>
      <c r="O162" s="3" t="s">
        <v>176</v>
      </c>
      <c r="P162" s="1" t="s">
        <v>305</v>
      </c>
      <c r="Q162" s="1" t="s">
        <v>306</v>
      </c>
      <c r="T162" s="63" t="s">
        <v>159</v>
      </c>
      <c r="U162" s="64" t="s">
        <v>111</v>
      </c>
      <c r="Z162" s="63" t="s">
        <v>159</v>
      </c>
      <c r="AA162" s="64" t="s">
        <v>110</v>
      </c>
    </row>
    <row r="163" spans="1:28" ht="13.5">
      <c r="A163" s="2" t="s">
        <v>573</v>
      </c>
      <c r="B163" s="4" t="s">
        <v>29</v>
      </c>
      <c r="C163" s="25" t="s">
        <v>42</v>
      </c>
      <c r="D163" s="7" t="s">
        <v>572</v>
      </c>
      <c r="E163" s="10">
        <v>178</v>
      </c>
      <c r="F163" s="3">
        <v>2</v>
      </c>
      <c r="G163" s="4" t="s">
        <v>175</v>
      </c>
      <c r="H163" s="3">
        <v>1</v>
      </c>
      <c r="I163" s="2">
        <v>3</v>
      </c>
      <c r="J163" s="4" t="s">
        <v>34</v>
      </c>
      <c r="K163" s="5">
        <v>48</v>
      </c>
      <c r="L163" s="5">
        <v>48</v>
      </c>
      <c r="M163" s="5">
        <v>48</v>
      </c>
      <c r="N163" s="8">
        <v>6</v>
      </c>
      <c r="O163" s="3" t="s">
        <v>176</v>
      </c>
      <c r="P163" s="1" t="s">
        <v>314</v>
      </c>
      <c r="Q163" s="1" t="s">
        <v>315</v>
      </c>
      <c r="T163" s="63" t="s">
        <v>109</v>
      </c>
      <c r="U163" s="64" t="s">
        <v>83</v>
      </c>
      <c r="X163" s="63" t="s">
        <v>333</v>
      </c>
      <c r="Y163" s="64" t="s">
        <v>56</v>
      </c>
      <c r="AB163" s="71"/>
    </row>
    <row r="164" spans="1:28" ht="13.5">
      <c r="A164" s="2" t="s">
        <v>574</v>
      </c>
      <c r="B164" s="4" t="s">
        <v>29</v>
      </c>
      <c r="C164" s="25" t="s">
        <v>42</v>
      </c>
      <c r="D164" s="7" t="s">
        <v>572</v>
      </c>
      <c r="E164" s="10">
        <v>178</v>
      </c>
      <c r="F164" s="3">
        <v>3</v>
      </c>
      <c r="G164" s="4" t="s">
        <v>523</v>
      </c>
      <c r="H164" s="3">
        <v>1</v>
      </c>
      <c r="I164" s="2">
        <v>3</v>
      </c>
      <c r="J164" s="4" t="s">
        <v>34</v>
      </c>
      <c r="K164" s="5">
        <v>48</v>
      </c>
      <c r="L164" s="5">
        <v>48</v>
      </c>
      <c r="M164" s="5">
        <v>48</v>
      </c>
      <c r="N164" s="8">
        <v>6</v>
      </c>
      <c r="O164" s="3" t="s">
        <v>176</v>
      </c>
      <c r="P164" s="1" t="s">
        <v>314</v>
      </c>
      <c r="Q164" s="1" t="s">
        <v>315</v>
      </c>
      <c r="V164" s="63" t="s">
        <v>109</v>
      </c>
      <c r="W164" s="64" t="s">
        <v>39</v>
      </c>
      <c r="Z164" s="63" t="s">
        <v>123</v>
      </c>
      <c r="AA164" s="64" t="s">
        <v>39</v>
      </c>
    </row>
    <row r="165" spans="1:28" ht="13.5">
      <c r="A165" s="2" t="s">
        <v>575</v>
      </c>
      <c r="B165" s="3" t="s">
        <v>29</v>
      </c>
      <c r="C165" s="1" t="s">
        <v>42</v>
      </c>
      <c r="D165" s="7" t="s">
        <v>572</v>
      </c>
      <c r="E165" s="10">
        <v>181</v>
      </c>
      <c r="G165" s="4" t="s">
        <v>186</v>
      </c>
      <c r="H165" s="3">
        <v>1</v>
      </c>
      <c r="I165" s="2">
        <v>4</v>
      </c>
      <c r="J165" s="4" t="s">
        <v>34</v>
      </c>
      <c r="K165" s="5">
        <v>64</v>
      </c>
      <c r="L165" s="5">
        <v>64</v>
      </c>
      <c r="M165" s="5">
        <v>64</v>
      </c>
      <c r="N165" s="8">
        <v>8</v>
      </c>
      <c r="O165" s="3" t="s">
        <v>176</v>
      </c>
      <c r="P165" s="1" t="s">
        <v>299</v>
      </c>
      <c r="Q165" s="1" t="s">
        <v>300</v>
      </c>
      <c r="V165" s="63" t="s">
        <v>102</v>
      </c>
      <c r="W165" s="64" t="s">
        <v>64</v>
      </c>
      <c r="Z165" s="63" t="s">
        <v>96</v>
      </c>
      <c r="AA165" s="64" t="s">
        <v>39</v>
      </c>
    </row>
    <row r="166" spans="1:28" ht="13.5">
      <c r="A166" s="2" t="s">
        <v>576</v>
      </c>
      <c r="B166" s="4" t="s">
        <v>29</v>
      </c>
      <c r="C166" s="6" t="s">
        <v>42</v>
      </c>
      <c r="D166" s="20" t="s">
        <v>572</v>
      </c>
      <c r="E166" s="10">
        <v>182</v>
      </c>
      <c r="G166" s="4" t="s">
        <v>67</v>
      </c>
      <c r="H166" s="3">
        <v>1</v>
      </c>
      <c r="I166" s="2">
        <v>4.5</v>
      </c>
      <c r="J166" s="3" t="s">
        <v>209</v>
      </c>
      <c r="K166" s="5">
        <v>72</v>
      </c>
      <c r="L166" s="5">
        <v>72</v>
      </c>
      <c r="M166" s="5">
        <v>56</v>
      </c>
      <c r="N166" s="3">
        <f>(K166+M166)/16</f>
        <v>8</v>
      </c>
      <c r="O166" s="21" t="s">
        <v>68</v>
      </c>
      <c r="P166" s="25" t="s">
        <v>192</v>
      </c>
      <c r="Q166" s="25" t="s">
        <v>193</v>
      </c>
      <c r="R166" s="63" t="s">
        <v>395</v>
      </c>
      <c r="S166" s="64" t="s">
        <v>149</v>
      </c>
      <c r="T166" s="63" t="s">
        <v>109</v>
      </c>
      <c r="U166" s="64" t="s">
        <v>149</v>
      </c>
      <c r="Z166" s="63" t="s">
        <v>148</v>
      </c>
      <c r="AA166" s="64" t="s">
        <v>149</v>
      </c>
    </row>
    <row r="167" spans="1:28" ht="13.5">
      <c r="A167" s="2" t="s">
        <v>577</v>
      </c>
      <c r="B167" s="4" t="s">
        <v>29</v>
      </c>
      <c r="C167" s="6" t="s">
        <v>42</v>
      </c>
      <c r="D167" s="20" t="s">
        <v>578</v>
      </c>
      <c r="E167" s="10">
        <v>183</v>
      </c>
      <c r="F167" s="3">
        <v>1</v>
      </c>
      <c r="G167" s="4" t="s">
        <v>106</v>
      </c>
      <c r="H167" s="3">
        <v>5</v>
      </c>
      <c r="I167" s="2">
        <v>3</v>
      </c>
      <c r="J167" s="3" t="s">
        <v>34</v>
      </c>
      <c r="K167" s="5">
        <v>48</v>
      </c>
      <c r="L167" s="5">
        <v>48</v>
      </c>
      <c r="M167" s="5">
        <v>48</v>
      </c>
      <c r="N167" s="3">
        <v>6</v>
      </c>
      <c r="O167" s="3" t="s">
        <v>35</v>
      </c>
      <c r="P167" s="1" t="s">
        <v>579</v>
      </c>
      <c r="Q167" s="1" t="s">
        <v>580</v>
      </c>
      <c r="V167" s="63" t="s">
        <v>71</v>
      </c>
      <c r="W167" s="64" t="s">
        <v>48</v>
      </c>
      <c r="Z167" s="63" t="s">
        <v>74</v>
      </c>
      <c r="AA167" s="64" t="s">
        <v>204</v>
      </c>
    </row>
    <row r="168" spans="1:28" ht="13.5">
      <c r="A168" s="2" t="s">
        <v>581</v>
      </c>
      <c r="B168" s="4" t="s">
        <v>29</v>
      </c>
      <c r="C168" s="6" t="s">
        <v>42</v>
      </c>
      <c r="D168" s="20" t="s">
        <v>578</v>
      </c>
      <c r="E168" s="10">
        <v>183</v>
      </c>
      <c r="F168" s="3">
        <v>2</v>
      </c>
      <c r="G168" s="4" t="s">
        <v>106</v>
      </c>
      <c r="H168" s="3">
        <v>5</v>
      </c>
      <c r="I168" s="2">
        <v>3</v>
      </c>
      <c r="J168" s="3" t="s">
        <v>34</v>
      </c>
      <c r="K168" s="5">
        <v>48</v>
      </c>
      <c r="L168" s="5">
        <v>48</v>
      </c>
      <c r="M168" s="5">
        <v>48</v>
      </c>
      <c r="N168" s="3">
        <f>(K168+M168)/16</f>
        <v>6</v>
      </c>
      <c r="O168" s="21" t="s">
        <v>35</v>
      </c>
      <c r="P168" s="1" t="s">
        <v>501</v>
      </c>
      <c r="Q168" s="1" t="s">
        <v>502</v>
      </c>
      <c r="R168" s="63" t="s">
        <v>358</v>
      </c>
      <c r="S168" s="64" t="s">
        <v>118</v>
      </c>
      <c r="X168" s="63" t="s">
        <v>154</v>
      </c>
      <c r="Y168" s="64" t="s">
        <v>83</v>
      </c>
      <c r="AB168" s="71"/>
    </row>
    <row r="169" spans="1:28" ht="13.5">
      <c r="A169" s="2" t="s">
        <v>582</v>
      </c>
      <c r="B169" s="4" t="s">
        <v>29</v>
      </c>
      <c r="C169" s="6" t="s">
        <v>42</v>
      </c>
      <c r="D169" s="7" t="s">
        <v>583</v>
      </c>
      <c r="E169" s="10">
        <v>185</v>
      </c>
      <c r="G169" s="4" t="s">
        <v>137</v>
      </c>
      <c r="H169" s="3">
        <v>6</v>
      </c>
      <c r="I169" s="2">
        <v>8</v>
      </c>
      <c r="J169" s="3" t="s">
        <v>93</v>
      </c>
      <c r="K169" s="5">
        <v>128</v>
      </c>
      <c r="L169" s="5">
        <v>128</v>
      </c>
      <c r="M169" s="5">
        <v>0</v>
      </c>
      <c r="N169" s="3">
        <f>(K169+M169)/16</f>
        <v>8</v>
      </c>
      <c r="O169" s="3" t="s">
        <v>35</v>
      </c>
      <c r="P169" s="2" t="s">
        <v>546</v>
      </c>
      <c r="Q169" s="2" t="s">
        <v>547</v>
      </c>
      <c r="R169" s="63" t="s">
        <v>63</v>
      </c>
      <c r="S169" s="64" t="s">
        <v>97</v>
      </c>
      <c r="T169" s="63" t="s">
        <v>47</v>
      </c>
      <c r="U169" s="64" t="s">
        <v>118</v>
      </c>
      <c r="X169" s="63" t="s">
        <v>290</v>
      </c>
      <c r="Y169" s="64" t="s">
        <v>50</v>
      </c>
      <c r="Z169" s="63" t="s">
        <v>290</v>
      </c>
      <c r="AA169" s="64" t="s">
        <v>122</v>
      </c>
    </row>
    <row r="170" spans="1:28" ht="13.5">
      <c r="A170" s="2" t="s">
        <v>584</v>
      </c>
      <c r="B170" s="4" t="s">
        <v>29</v>
      </c>
      <c r="C170" s="6" t="s">
        <v>42</v>
      </c>
      <c r="D170" s="20" t="s">
        <v>585</v>
      </c>
      <c r="E170" s="10">
        <v>186</v>
      </c>
      <c r="G170" s="4" t="s">
        <v>137</v>
      </c>
      <c r="H170" s="3">
        <v>2</v>
      </c>
      <c r="I170" s="2">
        <v>1</v>
      </c>
      <c r="J170" s="3" t="s">
        <v>86</v>
      </c>
      <c r="K170" s="5">
        <v>16</v>
      </c>
      <c r="L170" s="5">
        <v>32</v>
      </c>
      <c r="M170" s="5">
        <v>64</v>
      </c>
      <c r="N170" s="3">
        <f>(K170+M170)/16</f>
        <v>5</v>
      </c>
      <c r="O170" s="21" t="s">
        <v>35</v>
      </c>
      <c r="P170" s="1" t="s">
        <v>546</v>
      </c>
      <c r="Q170" s="2" t="s">
        <v>547</v>
      </c>
      <c r="V170" s="63" t="s">
        <v>586</v>
      </c>
      <c r="W170" s="64" t="s">
        <v>204</v>
      </c>
    </row>
    <row r="171" spans="1:28" ht="13.5">
      <c r="A171" s="2" t="s">
        <v>587</v>
      </c>
      <c r="B171" s="3" t="s">
        <v>29</v>
      </c>
      <c r="C171" s="6" t="s">
        <v>42</v>
      </c>
      <c r="D171" s="7" t="s">
        <v>588</v>
      </c>
      <c r="E171" s="10">
        <v>187</v>
      </c>
      <c r="G171" s="4" t="s">
        <v>184</v>
      </c>
      <c r="H171" s="3">
        <v>1</v>
      </c>
      <c r="I171" s="2">
        <v>2.5</v>
      </c>
      <c r="J171" s="4" t="s">
        <v>34</v>
      </c>
      <c r="K171" s="5">
        <v>40</v>
      </c>
      <c r="L171" s="5">
        <v>40</v>
      </c>
      <c r="M171" s="5">
        <v>24</v>
      </c>
      <c r="N171" s="8">
        <v>4</v>
      </c>
      <c r="O171" s="3" t="s">
        <v>176</v>
      </c>
      <c r="P171" s="1" t="s">
        <v>45</v>
      </c>
      <c r="Q171" s="1" t="s">
        <v>478</v>
      </c>
      <c r="Z171" s="63" t="s">
        <v>589</v>
      </c>
      <c r="AA171" s="64" t="s">
        <v>50</v>
      </c>
    </row>
    <row r="172" spans="1:28" ht="13.5">
      <c r="A172" s="2" t="s">
        <v>590</v>
      </c>
      <c r="B172" s="3" t="s">
        <v>29</v>
      </c>
      <c r="C172" s="1" t="s">
        <v>42</v>
      </c>
      <c r="D172" s="7" t="s">
        <v>588</v>
      </c>
      <c r="E172" s="10">
        <v>188</v>
      </c>
      <c r="G172" s="4" t="s">
        <v>186</v>
      </c>
      <c r="H172" s="3">
        <v>1</v>
      </c>
      <c r="I172" s="2">
        <v>3</v>
      </c>
      <c r="J172" s="4" t="s">
        <v>34</v>
      </c>
      <c r="K172" s="5">
        <v>48</v>
      </c>
      <c r="L172" s="5">
        <v>48</v>
      </c>
      <c r="M172" s="5">
        <v>32</v>
      </c>
      <c r="N172" s="8">
        <v>5</v>
      </c>
      <c r="O172" s="3" t="s">
        <v>176</v>
      </c>
      <c r="P172" s="1" t="s">
        <v>591</v>
      </c>
      <c r="Q172" s="1" t="s">
        <v>592</v>
      </c>
      <c r="T172" s="63" t="s">
        <v>109</v>
      </c>
      <c r="U172" s="64" t="s">
        <v>39</v>
      </c>
      <c r="V172" s="63" t="s">
        <v>121</v>
      </c>
      <c r="W172" s="64" t="s">
        <v>39</v>
      </c>
    </row>
    <row r="173" spans="1:28" ht="13.5">
      <c r="A173" s="2" t="s">
        <v>593</v>
      </c>
      <c r="B173" s="4" t="s">
        <v>29</v>
      </c>
      <c r="C173" s="6" t="s">
        <v>42</v>
      </c>
      <c r="D173" s="7" t="s">
        <v>588</v>
      </c>
      <c r="E173" s="10">
        <v>189</v>
      </c>
      <c r="F173" s="3">
        <v>1</v>
      </c>
      <c r="G173" s="4" t="s">
        <v>190</v>
      </c>
      <c r="H173" s="3">
        <v>1</v>
      </c>
      <c r="I173" s="2">
        <v>2.5</v>
      </c>
      <c r="J173" s="4" t="s">
        <v>34</v>
      </c>
      <c r="K173" s="5">
        <v>40</v>
      </c>
      <c r="L173" s="5">
        <v>40</v>
      </c>
      <c r="M173" s="5">
        <v>24</v>
      </c>
      <c r="N173" s="8">
        <f>(L173+M173)/16</f>
        <v>4</v>
      </c>
      <c r="O173" s="3" t="s">
        <v>191</v>
      </c>
      <c r="P173" s="2" t="s">
        <v>594</v>
      </c>
      <c r="Q173" s="2" t="s">
        <v>595</v>
      </c>
      <c r="X173" s="63" t="s">
        <v>596</v>
      </c>
      <c r="Y173" s="64" t="s">
        <v>165</v>
      </c>
    </row>
    <row r="174" spans="1:28" ht="13.5">
      <c r="A174" s="2" t="s">
        <v>597</v>
      </c>
      <c r="B174" s="4" t="s">
        <v>29</v>
      </c>
      <c r="C174" s="6" t="s">
        <v>42</v>
      </c>
      <c r="D174" s="7" t="s">
        <v>588</v>
      </c>
      <c r="E174" s="10">
        <v>189</v>
      </c>
      <c r="F174" s="3">
        <v>2</v>
      </c>
      <c r="G174" s="4" t="s">
        <v>190</v>
      </c>
      <c r="H174" s="3">
        <v>1</v>
      </c>
      <c r="I174" s="2">
        <v>2.5</v>
      </c>
      <c r="J174" s="4" t="s">
        <v>34</v>
      </c>
      <c r="K174" s="5">
        <v>40</v>
      </c>
      <c r="L174" s="5">
        <v>40</v>
      </c>
      <c r="M174" s="5">
        <v>24</v>
      </c>
      <c r="N174" s="8">
        <f>(L174+M174)/16</f>
        <v>4</v>
      </c>
      <c r="O174" s="3" t="s">
        <v>191</v>
      </c>
      <c r="P174" s="1" t="s">
        <v>598</v>
      </c>
      <c r="Q174" s="1" t="s">
        <v>599</v>
      </c>
      <c r="Z174" s="63" t="s">
        <v>563</v>
      </c>
      <c r="AA174" s="64" t="s">
        <v>165</v>
      </c>
    </row>
    <row r="175" spans="1:28" ht="13.5">
      <c r="A175" s="2" t="s">
        <v>600</v>
      </c>
      <c r="B175" s="4" t="s">
        <v>29</v>
      </c>
      <c r="C175" s="6" t="s">
        <v>42</v>
      </c>
      <c r="D175" s="7" t="s">
        <v>588</v>
      </c>
      <c r="E175" s="10">
        <v>191</v>
      </c>
      <c r="F175" s="3">
        <v>1</v>
      </c>
      <c r="G175" s="4" t="s">
        <v>200</v>
      </c>
      <c r="H175" s="3">
        <v>1</v>
      </c>
      <c r="I175" s="2">
        <v>2.5</v>
      </c>
      <c r="J175" s="4" t="s">
        <v>34</v>
      </c>
      <c r="K175" s="5">
        <v>40</v>
      </c>
      <c r="L175" s="5">
        <v>40</v>
      </c>
      <c r="M175" s="5">
        <v>24</v>
      </c>
      <c r="N175" s="8">
        <v>4</v>
      </c>
      <c r="O175" s="3" t="s">
        <v>176</v>
      </c>
      <c r="P175" s="2" t="s">
        <v>594</v>
      </c>
      <c r="Q175" s="2" t="s">
        <v>595</v>
      </c>
      <c r="X175" s="63" t="s">
        <v>529</v>
      </c>
      <c r="Y175" s="64" t="s">
        <v>48</v>
      </c>
    </row>
    <row r="176" spans="1:28" ht="13.5">
      <c r="A176" s="2" t="s">
        <v>601</v>
      </c>
      <c r="B176" s="4" t="s">
        <v>29</v>
      </c>
      <c r="C176" s="6" t="s">
        <v>42</v>
      </c>
      <c r="D176" s="7" t="s">
        <v>588</v>
      </c>
      <c r="E176" s="10">
        <v>191</v>
      </c>
      <c r="F176" s="3">
        <v>2</v>
      </c>
      <c r="G176" s="4" t="s">
        <v>200</v>
      </c>
      <c r="H176" s="3">
        <v>1</v>
      </c>
      <c r="I176" s="2">
        <v>2.5</v>
      </c>
      <c r="J176" s="4" t="s">
        <v>34</v>
      </c>
      <c r="K176" s="5">
        <v>40</v>
      </c>
      <c r="L176" s="5">
        <v>40</v>
      </c>
      <c r="M176" s="5">
        <v>24</v>
      </c>
      <c r="N176" s="8">
        <v>4</v>
      </c>
      <c r="O176" s="3" t="s">
        <v>176</v>
      </c>
      <c r="P176" s="2" t="s">
        <v>320</v>
      </c>
      <c r="Q176" s="2" t="s">
        <v>321</v>
      </c>
      <c r="X176" s="63" t="s">
        <v>529</v>
      </c>
      <c r="Y176" s="64" t="s">
        <v>204</v>
      </c>
    </row>
    <row r="177" spans="1:28" ht="13.5">
      <c r="A177" s="2" t="s">
        <v>602</v>
      </c>
      <c r="B177" s="4" t="s">
        <v>29</v>
      </c>
      <c r="C177" s="6" t="s">
        <v>42</v>
      </c>
      <c r="D177" s="7" t="s">
        <v>588</v>
      </c>
      <c r="E177" s="10">
        <v>191</v>
      </c>
      <c r="F177" s="3">
        <v>3</v>
      </c>
      <c r="G177" s="4" t="s">
        <v>200</v>
      </c>
      <c r="H177" s="3">
        <v>1</v>
      </c>
      <c r="I177" s="2">
        <v>2.5</v>
      </c>
      <c r="J177" s="4" t="s">
        <v>34</v>
      </c>
      <c r="K177" s="5">
        <v>40</v>
      </c>
      <c r="L177" s="5">
        <v>40</v>
      </c>
      <c r="M177" s="5">
        <v>24</v>
      </c>
      <c r="N177" s="8">
        <v>4</v>
      </c>
      <c r="O177" s="3" t="s">
        <v>176</v>
      </c>
      <c r="P177" s="1" t="s">
        <v>421</v>
      </c>
      <c r="Q177" s="1" t="s">
        <v>422</v>
      </c>
      <c r="X177" s="63" t="s">
        <v>529</v>
      </c>
      <c r="Y177" s="64" t="s">
        <v>118</v>
      </c>
    </row>
    <row r="178" spans="1:28" ht="13.5">
      <c r="A178" s="2" t="s">
        <v>603</v>
      </c>
      <c r="B178" s="4" t="s">
        <v>29</v>
      </c>
      <c r="C178" s="6" t="s">
        <v>42</v>
      </c>
      <c r="D178" s="20" t="s">
        <v>588</v>
      </c>
      <c r="E178" s="10">
        <v>194</v>
      </c>
      <c r="G178" s="4" t="s">
        <v>67</v>
      </c>
      <c r="H178" s="3">
        <v>1</v>
      </c>
      <c r="I178" s="2">
        <v>3</v>
      </c>
      <c r="J178" s="3" t="s">
        <v>209</v>
      </c>
      <c r="K178" s="5">
        <v>48</v>
      </c>
      <c r="L178" s="5">
        <v>48</v>
      </c>
      <c r="M178" s="5">
        <v>32</v>
      </c>
      <c r="N178" s="3">
        <f>(K178+M178)/16</f>
        <v>5</v>
      </c>
      <c r="O178" s="21" t="s">
        <v>68</v>
      </c>
      <c r="P178" s="1" t="s">
        <v>87</v>
      </c>
      <c r="Q178" s="1" t="s">
        <v>88</v>
      </c>
      <c r="V178" s="63" t="s">
        <v>121</v>
      </c>
      <c r="W178" s="64" t="s">
        <v>149</v>
      </c>
      <c r="Z178" s="63" t="s">
        <v>210</v>
      </c>
      <c r="AA178" s="64" t="s">
        <v>149</v>
      </c>
    </row>
    <row r="179" spans="1:28" ht="13.5">
      <c r="A179" s="2" t="s">
        <v>604</v>
      </c>
      <c r="B179" s="4" t="s">
        <v>29</v>
      </c>
      <c r="C179" s="1" t="s">
        <v>42</v>
      </c>
      <c r="D179" s="7" t="s">
        <v>605</v>
      </c>
      <c r="E179" s="10">
        <v>195</v>
      </c>
      <c r="G179" s="4" t="s">
        <v>106</v>
      </c>
      <c r="H179" s="3">
        <v>4</v>
      </c>
      <c r="I179" s="2">
        <v>1.5</v>
      </c>
      <c r="J179" s="3" t="s">
        <v>86</v>
      </c>
      <c r="K179" s="5">
        <f>L179/2</f>
        <v>24</v>
      </c>
      <c r="L179" s="5">
        <v>48</v>
      </c>
      <c r="M179" s="5">
        <v>32</v>
      </c>
      <c r="N179" s="3">
        <f>(L179+M179)/16</f>
        <v>5</v>
      </c>
      <c r="O179" s="3" t="s">
        <v>35</v>
      </c>
      <c r="P179" s="1" t="s">
        <v>606</v>
      </c>
      <c r="Q179" s="2" t="s">
        <v>607</v>
      </c>
      <c r="Z179" s="63" t="s">
        <v>148</v>
      </c>
      <c r="AA179" s="64" t="s">
        <v>172</v>
      </c>
    </row>
    <row r="180" spans="1:28" ht="13.5">
      <c r="A180" s="2" t="s">
        <v>608</v>
      </c>
      <c r="B180" s="4" t="s">
        <v>29</v>
      </c>
      <c r="C180" s="1" t="s">
        <v>42</v>
      </c>
      <c r="D180" s="7" t="s">
        <v>609</v>
      </c>
      <c r="E180" s="10">
        <v>196</v>
      </c>
      <c r="G180" s="4" t="s">
        <v>133</v>
      </c>
      <c r="H180" s="3">
        <v>2</v>
      </c>
      <c r="I180" s="2">
        <v>2.5</v>
      </c>
      <c r="J180" s="3" t="s">
        <v>86</v>
      </c>
      <c r="K180" s="5">
        <f>L180/2</f>
        <v>36</v>
      </c>
      <c r="L180" s="5">
        <v>72</v>
      </c>
      <c r="M180" s="5">
        <v>56</v>
      </c>
      <c r="N180" s="3">
        <f>(L180+M180)/16</f>
        <v>8</v>
      </c>
      <c r="O180" s="3" t="s">
        <v>35</v>
      </c>
      <c r="P180" s="1" t="s">
        <v>305</v>
      </c>
      <c r="Q180" s="2" t="s">
        <v>610</v>
      </c>
      <c r="T180" s="63" t="s">
        <v>611</v>
      </c>
      <c r="U180" s="64" t="s">
        <v>83</v>
      </c>
    </row>
    <row r="181" spans="1:28" ht="13.5">
      <c r="A181" s="2" t="s">
        <v>612</v>
      </c>
      <c r="B181" s="4" t="s">
        <v>29</v>
      </c>
      <c r="C181" s="1" t="s">
        <v>42</v>
      </c>
      <c r="D181" s="7" t="s">
        <v>609</v>
      </c>
      <c r="E181" s="10">
        <v>197</v>
      </c>
      <c r="G181" s="4" t="s">
        <v>536</v>
      </c>
      <c r="H181" s="3">
        <v>2</v>
      </c>
      <c r="I181" s="2">
        <v>2.5</v>
      </c>
      <c r="J181" s="3" t="s">
        <v>86</v>
      </c>
      <c r="K181" s="5">
        <f>L181/2</f>
        <v>36</v>
      </c>
      <c r="L181" s="5">
        <v>72</v>
      </c>
      <c r="M181" s="5">
        <v>40</v>
      </c>
      <c r="N181" s="3">
        <f>(L181+M181)/16</f>
        <v>7</v>
      </c>
      <c r="O181" s="3" t="s">
        <v>35</v>
      </c>
      <c r="P181" s="33" t="s">
        <v>550</v>
      </c>
      <c r="Q181" s="1" t="s">
        <v>551</v>
      </c>
      <c r="T181" s="63" t="s">
        <v>134</v>
      </c>
      <c r="U181" s="64" t="s">
        <v>204</v>
      </c>
    </row>
    <row r="182" spans="1:28" ht="13.5">
      <c r="A182" s="2" t="s">
        <v>613</v>
      </c>
      <c r="B182" s="4" t="s">
        <v>29</v>
      </c>
      <c r="C182" s="6" t="s">
        <v>42</v>
      </c>
      <c r="D182" s="20" t="s">
        <v>609</v>
      </c>
      <c r="E182" s="10">
        <v>198</v>
      </c>
      <c r="G182" s="4" t="s">
        <v>67</v>
      </c>
      <c r="H182" s="3">
        <v>1</v>
      </c>
      <c r="I182" s="2">
        <v>3</v>
      </c>
      <c r="J182" s="3" t="s">
        <v>209</v>
      </c>
      <c r="K182" s="5">
        <v>48</v>
      </c>
      <c r="L182" s="5">
        <v>48</v>
      </c>
      <c r="M182" s="5">
        <v>32</v>
      </c>
      <c r="N182" s="3">
        <v>5</v>
      </c>
      <c r="O182" s="21" t="s">
        <v>68</v>
      </c>
      <c r="P182" s="1" t="s">
        <v>614</v>
      </c>
      <c r="Q182" s="1" t="s">
        <v>615</v>
      </c>
      <c r="R182" s="63" t="s">
        <v>109</v>
      </c>
      <c r="S182" s="64" t="s">
        <v>149</v>
      </c>
      <c r="X182" s="63" t="s">
        <v>109</v>
      </c>
      <c r="Y182" s="64" t="s">
        <v>149</v>
      </c>
    </row>
    <row r="183" spans="1:28" ht="13.5">
      <c r="A183" s="2" t="s">
        <v>616</v>
      </c>
      <c r="B183" s="4" t="s">
        <v>29</v>
      </c>
      <c r="C183" s="6" t="s">
        <v>42</v>
      </c>
      <c r="D183" s="20" t="s">
        <v>617</v>
      </c>
      <c r="E183" s="10">
        <v>199</v>
      </c>
      <c r="F183" s="3">
        <v>1</v>
      </c>
      <c r="G183" s="4" t="s">
        <v>106</v>
      </c>
      <c r="H183" s="24">
        <v>3</v>
      </c>
      <c r="I183" s="34">
        <v>3.5</v>
      </c>
      <c r="J183" s="3" t="s">
        <v>34</v>
      </c>
      <c r="K183" s="5">
        <v>56</v>
      </c>
      <c r="L183" s="5">
        <v>56</v>
      </c>
      <c r="M183" s="5">
        <v>40</v>
      </c>
      <c r="N183" s="3">
        <f t="shared" ref="N183:N188" si="3">(K183+M183)/16</f>
        <v>6</v>
      </c>
      <c r="O183" s="21" t="s">
        <v>35</v>
      </c>
      <c r="P183" s="1" t="s">
        <v>618</v>
      </c>
      <c r="Q183" s="1" t="s">
        <v>619</v>
      </c>
      <c r="R183" s="63" t="s">
        <v>124</v>
      </c>
      <c r="S183" s="64" t="s">
        <v>172</v>
      </c>
      <c r="Z183" s="63" t="s">
        <v>198</v>
      </c>
      <c r="AA183" s="64" t="s">
        <v>332</v>
      </c>
    </row>
    <row r="184" spans="1:28" ht="13.5">
      <c r="A184" s="2" t="s">
        <v>620</v>
      </c>
      <c r="B184" s="4" t="s">
        <v>29</v>
      </c>
      <c r="C184" s="6" t="s">
        <v>42</v>
      </c>
      <c r="D184" s="20" t="s">
        <v>617</v>
      </c>
      <c r="E184" s="10">
        <v>199</v>
      </c>
      <c r="F184" s="3">
        <v>2</v>
      </c>
      <c r="G184" s="4" t="s">
        <v>106</v>
      </c>
      <c r="H184" s="24">
        <v>3</v>
      </c>
      <c r="I184" s="2">
        <v>3.5</v>
      </c>
      <c r="J184" s="3" t="s">
        <v>34</v>
      </c>
      <c r="K184" s="5">
        <v>56</v>
      </c>
      <c r="L184" s="5">
        <v>56</v>
      </c>
      <c r="M184" s="5">
        <v>40</v>
      </c>
      <c r="N184" s="3">
        <f t="shared" si="3"/>
        <v>6</v>
      </c>
      <c r="O184" s="21" t="s">
        <v>35</v>
      </c>
      <c r="P184" s="1" t="s">
        <v>618</v>
      </c>
      <c r="Q184" s="1" t="s">
        <v>619</v>
      </c>
      <c r="T184" s="63" t="s">
        <v>140</v>
      </c>
      <c r="U184" s="64" t="s">
        <v>83</v>
      </c>
      <c r="Z184" s="63" t="s">
        <v>121</v>
      </c>
      <c r="AA184" s="64" t="s">
        <v>110</v>
      </c>
    </row>
    <row r="185" spans="1:28" ht="13.5">
      <c r="A185" s="2" t="s">
        <v>621</v>
      </c>
      <c r="B185" s="4" t="s">
        <v>29</v>
      </c>
      <c r="C185" s="6" t="s">
        <v>42</v>
      </c>
      <c r="D185" s="20" t="s">
        <v>617</v>
      </c>
      <c r="E185" s="10">
        <v>199</v>
      </c>
      <c r="F185" s="3">
        <v>3</v>
      </c>
      <c r="G185" s="4" t="s">
        <v>106</v>
      </c>
      <c r="H185" s="24">
        <v>3</v>
      </c>
      <c r="I185" s="2">
        <v>3.5</v>
      </c>
      <c r="J185" s="3" t="s">
        <v>34</v>
      </c>
      <c r="K185" s="5">
        <v>56</v>
      </c>
      <c r="L185" s="5">
        <v>56</v>
      </c>
      <c r="M185" s="5">
        <v>40</v>
      </c>
      <c r="N185" s="3">
        <f t="shared" si="3"/>
        <v>6</v>
      </c>
      <c r="O185" s="21" t="s">
        <v>35</v>
      </c>
      <c r="P185" s="1" t="s">
        <v>622</v>
      </c>
      <c r="Q185" s="1" t="s">
        <v>623</v>
      </c>
      <c r="R185" s="63" t="s">
        <v>141</v>
      </c>
      <c r="S185" s="64" t="s">
        <v>332</v>
      </c>
      <c r="V185" s="2" t="s">
        <v>198</v>
      </c>
      <c r="W185" s="2" t="s">
        <v>332</v>
      </c>
      <c r="Z185" s="63"/>
      <c r="AA185" s="64"/>
      <c r="AB185" s="71"/>
    </row>
    <row r="186" spans="1:28" ht="23.1" customHeight="1">
      <c r="A186" s="2" t="s">
        <v>624</v>
      </c>
      <c r="B186" s="4" t="s">
        <v>29</v>
      </c>
      <c r="C186" s="6" t="s">
        <v>42</v>
      </c>
      <c r="D186" s="7" t="s">
        <v>625</v>
      </c>
      <c r="E186" s="10">
        <v>202</v>
      </c>
      <c r="G186" s="4" t="s">
        <v>59</v>
      </c>
      <c r="H186" s="3">
        <v>7</v>
      </c>
      <c r="I186" s="2">
        <v>4</v>
      </c>
      <c r="J186" s="3" t="s">
        <v>34</v>
      </c>
      <c r="K186" s="5">
        <v>64</v>
      </c>
      <c r="L186" s="5">
        <v>64</v>
      </c>
      <c r="M186" s="5">
        <v>32</v>
      </c>
      <c r="N186" s="3">
        <f t="shared" si="3"/>
        <v>6</v>
      </c>
      <c r="O186" s="3" t="s">
        <v>35</v>
      </c>
      <c r="P186" s="1" t="s">
        <v>213</v>
      </c>
      <c r="Q186" s="1" t="s">
        <v>214</v>
      </c>
      <c r="R186" s="63" t="s">
        <v>54</v>
      </c>
      <c r="S186" s="64" t="s">
        <v>83</v>
      </c>
      <c r="X186" s="63" t="s">
        <v>626</v>
      </c>
      <c r="Y186" s="64" t="s">
        <v>73</v>
      </c>
    </row>
    <row r="187" spans="1:28" ht="13.5">
      <c r="A187" s="2" t="s">
        <v>627</v>
      </c>
      <c r="B187" s="4" t="s">
        <v>29</v>
      </c>
      <c r="C187" s="6" t="s">
        <v>42</v>
      </c>
      <c r="D187" s="7" t="s">
        <v>628</v>
      </c>
      <c r="E187" s="10">
        <v>203</v>
      </c>
      <c r="G187" s="4" t="s">
        <v>59</v>
      </c>
      <c r="H187" s="3">
        <v>7</v>
      </c>
      <c r="I187" s="2">
        <v>4.5</v>
      </c>
      <c r="J187" s="3" t="s">
        <v>34</v>
      </c>
      <c r="K187" s="5">
        <v>72</v>
      </c>
      <c r="L187" s="5">
        <v>72</v>
      </c>
      <c r="M187" s="5">
        <v>56</v>
      </c>
      <c r="N187" s="3">
        <f t="shared" si="3"/>
        <v>8</v>
      </c>
      <c r="O187" s="3" t="s">
        <v>35</v>
      </c>
      <c r="P187" s="1" t="s">
        <v>425</v>
      </c>
      <c r="Q187" s="1" t="s">
        <v>426</v>
      </c>
      <c r="R187" s="63" t="s">
        <v>72</v>
      </c>
      <c r="S187" s="64" t="s">
        <v>215</v>
      </c>
      <c r="V187" s="63" t="s">
        <v>152</v>
      </c>
      <c r="W187" s="64" t="s">
        <v>215</v>
      </c>
      <c r="X187" s="63" t="s">
        <v>152</v>
      </c>
      <c r="Y187" s="64" t="s">
        <v>215</v>
      </c>
    </row>
    <row r="188" spans="1:28" ht="13.5">
      <c r="A188" s="2" t="s">
        <v>629</v>
      </c>
      <c r="B188" s="4" t="s">
        <v>29</v>
      </c>
      <c r="C188" s="6" t="s">
        <v>42</v>
      </c>
      <c r="D188" s="20" t="s">
        <v>628</v>
      </c>
      <c r="E188" s="10">
        <v>204</v>
      </c>
      <c r="F188" s="3">
        <v>1</v>
      </c>
      <c r="G188" s="4" t="s">
        <v>133</v>
      </c>
      <c r="H188" s="24">
        <v>3</v>
      </c>
      <c r="I188" s="2">
        <v>4.5</v>
      </c>
      <c r="J188" s="4" t="s">
        <v>34</v>
      </c>
      <c r="K188" s="5">
        <v>72</v>
      </c>
      <c r="L188" s="5">
        <v>72</v>
      </c>
      <c r="M188" s="5">
        <v>56</v>
      </c>
      <c r="N188" s="3">
        <f t="shared" si="3"/>
        <v>8</v>
      </c>
      <c r="O188" s="21" t="s">
        <v>35</v>
      </c>
      <c r="P188" s="1" t="s">
        <v>425</v>
      </c>
      <c r="Q188" s="1" t="s">
        <v>426</v>
      </c>
      <c r="R188" s="63" t="s">
        <v>96</v>
      </c>
      <c r="S188" s="64" t="s">
        <v>226</v>
      </c>
      <c r="Z188" s="63" t="s">
        <v>198</v>
      </c>
      <c r="AA188" s="64" t="s">
        <v>215</v>
      </c>
    </row>
    <row r="189" spans="1:28" ht="13.5">
      <c r="A189" s="2" t="s">
        <v>630</v>
      </c>
      <c r="B189" s="4" t="s">
        <v>29</v>
      </c>
      <c r="C189" s="6" t="s">
        <v>42</v>
      </c>
      <c r="D189" s="20" t="s">
        <v>628</v>
      </c>
      <c r="E189" s="10">
        <v>204</v>
      </c>
      <c r="F189" s="3">
        <v>2</v>
      </c>
      <c r="G189" s="4" t="s">
        <v>133</v>
      </c>
      <c r="H189" s="24">
        <v>3</v>
      </c>
      <c r="I189" s="2">
        <v>4.5</v>
      </c>
      <c r="J189" s="4" t="s">
        <v>34</v>
      </c>
      <c r="K189" s="5">
        <v>72</v>
      </c>
      <c r="L189" s="5">
        <v>72</v>
      </c>
      <c r="M189" s="5">
        <v>56</v>
      </c>
      <c r="N189" s="3">
        <v>8</v>
      </c>
      <c r="O189" s="21" t="s">
        <v>35</v>
      </c>
      <c r="P189" s="1" t="s">
        <v>566</v>
      </c>
      <c r="Q189" s="2" t="s">
        <v>567</v>
      </c>
      <c r="R189" s="63" t="s">
        <v>140</v>
      </c>
      <c r="S189" s="64" t="s">
        <v>216</v>
      </c>
      <c r="V189" s="63" t="s">
        <v>102</v>
      </c>
      <c r="W189" s="64" t="s">
        <v>216</v>
      </c>
    </row>
    <row r="190" spans="1:28" ht="13.5">
      <c r="A190" s="2" t="s">
        <v>631</v>
      </c>
      <c r="B190" s="4" t="s">
        <v>29</v>
      </c>
      <c r="C190" s="6" t="s">
        <v>42</v>
      </c>
      <c r="D190" s="20" t="s">
        <v>632</v>
      </c>
      <c r="E190" s="10">
        <v>207</v>
      </c>
      <c r="F190" s="3">
        <v>1</v>
      </c>
      <c r="G190" s="4" t="s">
        <v>106</v>
      </c>
      <c r="H190" s="24">
        <v>3</v>
      </c>
      <c r="I190" s="2">
        <v>3</v>
      </c>
      <c r="J190" s="3" t="s">
        <v>34</v>
      </c>
      <c r="K190" s="5">
        <v>48</v>
      </c>
      <c r="L190" s="5">
        <v>48</v>
      </c>
      <c r="M190" s="5">
        <v>32</v>
      </c>
      <c r="N190" s="3">
        <f t="shared" ref="N190:N195" si="4">(K190+M190)/16</f>
        <v>5</v>
      </c>
      <c r="O190" s="21" t="s">
        <v>35</v>
      </c>
      <c r="P190" s="1" t="s">
        <v>606</v>
      </c>
      <c r="Q190" s="2" t="s">
        <v>607</v>
      </c>
      <c r="V190" s="63" t="s">
        <v>148</v>
      </c>
      <c r="W190" s="64" t="s">
        <v>50</v>
      </c>
      <c r="X190" s="63" t="s">
        <v>210</v>
      </c>
      <c r="Y190" s="64" t="s">
        <v>50</v>
      </c>
    </row>
    <row r="191" spans="1:28" ht="13.5">
      <c r="A191" s="2" t="s">
        <v>633</v>
      </c>
      <c r="B191" s="4" t="s">
        <v>29</v>
      </c>
      <c r="C191" s="6" t="s">
        <v>42</v>
      </c>
      <c r="D191" s="20" t="s">
        <v>632</v>
      </c>
      <c r="E191" s="10">
        <v>207</v>
      </c>
      <c r="F191" s="3">
        <v>2</v>
      </c>
      <c r="G191" s="4" t="s">
        <v>106</v>
      </c>
      <c r="H191" s="24">
        <v>3</v>
      </c>
      <c r="I191" s="2">
        <v>3</v>
      </c>
      <c r="J191" s="3" t="s">
        <v>34</v>
      </c>
      <c r="K191" s="5">
        <v>48</v>
      </c>
      <c r="L191" s="5">
        <v>48</v>
      </c>
      <c r="M191" s="5">
        <v>32</v>
      </c>
      <c r="N191" s="3">
        <f t="shared" si="4"/>
        <v>5</v>
      </c>
      <c r="O191" s="21" t="s">
        <v>35</v>
      </c>
      <c r="P191" s="1" t="s">
        <v>606</v>
      </c>
      <c r="Q191" s="2" t="s">
        <v>607</v>
      </c>
      <c r="T191" s="63" t="s">
        <v>159</v>
      </c>
      <c r="U191" s="64" t="s">
        <v>160</v>
      </c>
      <c r="X191" s="63" t="s">
        <v>148</v>
      </c>
      <c r="Y191" s="64" t="s">
        <v>83</v>
      </c>
    </row>
    <row r="192" spans="1:28" ht="13.5">
      <c r="A192" s="2" t="s">
        <v>634</v>
      </c>
      <c r="B192" s="4" t="s">
        <v>29</v>
      </c>
      <c r="C192" s="6" t="s">
        <v>42</v>
      </c>
      <c r="D192" s="20" t="s">
        <v>632</v>
      </c>
      <c r="E192" s="10">
        <v>207</v>
      </c>
      <c r="F192" s="3">
        <v>3</v>
      </c>
      <c r="G192" s="4" t="s">
        <v>106</v>
      </c>
      <c r="H192" s="24">
        <v>3</v>
      </c>
      <c r="I192" s="2">
        <v>3</v>
      </c>
      <c r="J192" s="3" t="s">
        <v>34</v>
      </c>
      <c r="K192" s="5">
        <v>48</v>
      </c>
      <c r="L192" s="5">
        <v>48</v>
      </c>
      <c r="M192" s="5">
        <v>32</v>
      </c>
      <c r="N192" s="3">
        <f t="shared" si="4"/>
        <v>5</v>
      </c>
      <c r="O192" s="21" t="s">
        <v>35</v>
      </c>
      <c r="P192" s="1" t="s">
        <v>606</v>
      </c>
      <c r="Q192" s="2" t="s">
        <v>607</v>
      </c>
      <c r="T192" s="63" t="s">
        <v>210</v>
      </c>
      <c r="U192" s="64" t="s">
        <v>172</v>
      </c>
      <c r="X192" s="63" t="s">
        <v>109</v>
      </c>
      <c r="Y192" s="64" t="s">
        <v>332</v>
      </c>
    </row>
    <row r="193" spans="1:27" ht="13.5">
      <c r="A193" s="2" t="s">
        <v>635</v>
      </c>
      <c r="B193" s="4" t="s">
        <v>29</v>
      </c>
      <c r="C193" s="6" t="s">
        <v>42</v>
      </c>
      <c r="D193" s="7" t="s">
        <v>636</v>
      </c>
      <c r="E193" s="10">
        <v>210</v>
      </c>
      <c r="G193" s="4" t="s">
        <v>59</v>
      </c>
      <c r="H193" s="3">
        <v>5</v>
      </c>
      <c r="I193" s="2">
        <v>4.5</v>
      </c>
      <c r="J193" s="3" t="s">
        <v>34</v>
      </c>
      <c r="K193" s="5">
        <v>72</v>
      </c>
      <c r="L193" s="5">
        <v>72</v>
      </c>
      <c r="M193" s="5">
        <v>40</v>
      </c>
      <c r="N193" s="3">
        <f t="shared" si="4"/>
        <v>7</v>
      </c>
      <c r="O193" s="3" t="s">
        <v>35</v>
      </c>
      <c r="P193" s="2" t="s">
        <v>474</v>
      </c>
      <c r="Q193" s="2" t="s">
        <v>475</v>
      </c>
      <c r="T193" s="63" t="s">
        <v>276</v>
      </c>
      <c r="U193" s="64" t="s">
        <v>215</v>
      </c>
      <c r="V193" s="63" t="s">
        <v>272</v>
      </c>
      <c r="W193" s="64" t="s">
        <v>215</v>
      </c>
      <c r="X193" s="63" t="s">
        <v>72</v>
      </c>
      <c r="Y193" s="64" t="s">
        <v>215</v>
      </c>
    </row>
    <row r="194" spans="1:27" ht="13.5">
      <c r="A194" s="2" t="s">
        <v>637</v>
      </c>
      <c r="B194" s="4" t="s">
        <v>29</v>
      </c>
      <c r="C194" s="6" t="s">
        <v>42</v>
      </c>
      <c r="D194" s="20" t="s">
        <v>638</v>
      </c>
      <c r="E194" s="10">
        <v>211</v>
      </c>
      <c r="G194" s="4" t="s">
        <v>137</v>
      </c>
      <c r="H194" s="24">
        <v>3</v>
      </c>
      <c r="I194" s="2">
        <v>4</v>
      </c>
      <c r="J194" s="3" t="s">
        <v>34</v>
      </c>
      <c r="K194" s="5">
        <v>64</v>
      </c>
      <c r="L194" s="5">
        <v>64</v>
      </c>
      <c r="M194" s="5">
        <v>64</v>
      </c>
      <c r="N194" s="3">
        <f t="shared" si="4"/>
        <v>8</v>
      </c>
      <c r="O194" s="21" t="s">
        <v>35</v>
      </c>
      <c r="P194" s="7" t="s">
        <v>187</v>
      </c>
      <c r="Q194" s="7" t="s">
        <v>188</v>
      </c>
      <c r="R194" s="63" t="s">
        <v>49</v>
      </c>
      <c r="S194" s="64" t="s">
        <v>40</v>
      </c>
      <c r="V194" s="63" t="s">
        <v>49</v>
      </c>
      <c r="W194" s="64" t="s">
        <v>40</v>
      </c>
    </row>
    <row r="195" spans="1:27" ht="13.5">
      <c r="A195" s="2" t="s">
        <v>639</v>
      </c>
      <c r="B195" s="4" t="s">
        <v>29</v>
      </c>
      <c r="C195" s="6" t="s">
        <v>42</v>
      </c>
      <c r="D195" s="7" t="s">
        <v>640</v>
      </c>
      <c r="E195" s="10">
        <v>212</v>
      </c>
      <c r="G195" s="4" t="s">
        <v>106</v>
      </c>
      <c r="H195" s="3">
        <v>7</v>
      </c>
      <c r="I195" s="2">
        <v>2</v>
      </c>
      <c r="J195" s="3" t="s">
        <v>34</v>
      </c>
      <c r="K195" s="5">
        <v>32</v>
      </c>
      <c r="L195" s="5">
        <v>32</v>
      </c>
      <c r="M195" s="5">
        <v>32</v>
      </c>
      <c r="N195" s="3">
        <f t="shared" si="4"/>
        <v>4</v>
      </c>
      <c r="O195" s="21" t="s">
        <v>35</v>
      </c>
      <c r="P195" s="1" t="s">
        <v>516</v>
      </c>
      <c r="Q195" s="1" t="s">
        <v>517</v>
      </c>
      <c r="T195" s="63" t="s">
        <v>49</v>
      </c>
      <c r="U195" s="64" t="s">
        <v>83</v>
      </c>
    </row>
    <row r="196" spans="1:27" ht="12.75">
      <c r="A196" s="2" t="s">
        <v>641</v>
      </c>
      <c r="B196" s="4" t="s">
        <v>29</v>
      </c>
      <c r="C196" s="1" t="s">
        <v>42</v>
      </c>
      <c r="D196" s="7" t="s">
        <v>642</v>
      </c>
      <c r="E196" s="10">
        <v>213</v>
      </c>
      <c r="G196" s="4" t="s">
        <v>106</v>
      </c>
      <c r="H196" s="3">
        <v>7</v>
      </c>
      <c r="I196" s="2">
        <v>1.5</v>
      </c>
      <c r="J196" s="3" t="s">
        <v>34</v>
      </c>
      <c r="K196" s="5">
        <v>24</v>
      </c>
      <c r="L196" s="5">
        <v>24</v>
      </c>
      <c r="N196" s="35">
        <v>8</v>
      </c>
      <c r="O196" s="3" t="s">
        <v>35</v>
      </c>
      <c r="P196" s="7" t="s">
        <v>283</v>
      </c>
      <c r="Q196" s="7" t="s">
        <v>284</v>
      </c>
      <c r="V196" s="63" t="s">
        <v>177</v>
      </c>
    </row>
    <row r="197" spans="1:27" ht="12.75">
      <c r="A197" s="2" t="s">
        <v>643</v>
      </c>
      <c r="B197" s="4" t="s">
        <v>29</v>
      </c>
      <c r="C197" s="1" t="s">
        <v>42</v>
      </c>
      <c r="D197" s="7" t="s">
        <v>642</v>
      </c>
      <c r="E197" s="10">
        <v>214</v>
      </c>
      <c r="G197" s="4" t="s">
        <v>59</v>
      </c>
      <c r="H197" s="3">
        <v>6</v>
      </c>
      <c r="I197" s="2">
        <v>1.5</v>
      </c>
      <c r="J197" s="3" t="s">
        <v>34</v>
      </c>
      <c r="K197" s="36">
        <v>24</v>
      </c>
      <c r="L197" s="36">
        <v>24</v>
      </c>
      <c r="M197" s="36"/>
      <c r="N197" s="35">
        <v>8</v>
      </c>
      <c r="O197" s="3" t="s">
        <v>35</v>
      </c>
      <c r="P197" s="2" t="s">
        <v>550</v>
      </c>
      <c r="Q197" s="1" t="s">
        <v>551</v>
      </c>
      <c r="V197" s="63" t="s">
        <v>177</v>
      </c>
    </row>
    <row r="198" spans="1:27" ht="12.75">
      <c r="A198" s="2" t="s">
        <v>644</v>
      </c>
      <c r="B198" s="4" t="s">
        <v>29</v>
      </c>
      <c r="C198" s="1" t="s">
        <v>42</v>
      </c>
      <c r="D198" s="7" t="s">
        <v>642</v>
      </c>
      <c r="E198" s="10">
        <v>215</v>
      </c>
      <c r="F198" s="4"/>
      <c r="G198" s="4" t="s">
        <v>137</v>
      </c>
      <c r="H198" s="4">
        <v>8</v>
      </c>
      <c r="I198" s="2">
        <v>1.5</v>
      </c>
      <c r="J198" s="3" t="s">
        <v>34</v>
      </c>
      <c r="K198" s="5">
        <v>24</v>
      </c>
      <c r="L198" s="5">
        <v>24</v>
      </c>
      <c r="N198" s="35">
        <v>8</v>
      </c>
      <c r="O198" s="3" t="s">
        <v>35</v>
      </c>
      <c r="P198" s="7" t="s">
        <v>187</v>
      </c>
      <c r="Q198" s="7" t="s">
        <v>188</v>
      </c>
      <c r="V198" s="63" t="s">
        <v>177</v>
      </c>
    </row>
    <row r="199" spans="1:27" ht="12.75">
      <c r="A199" s="2" t="s">
        <v>645</v>
      </c>
      <c r="B199" s="4" t="s">
        <v>29</v>
      </c>
      <c r="C199" s="1" t="s">
        <v>42</v>
      </c>
      <c r="D199" s="7" t="s">
        <v>642</v>
      </c>
      <c r="E199" s="10">
        <v>216</v>
      </c>
      <c r="G199" s="4" t="s">
        <v>133</v>
      </c>
      <c r="H199" s="3">
        <v>9</v>
      </c>
      <c r="I199" s="2">
        <v>1.5</v>
      </c>
      <c r="J199" s="3" t="s">
        <v>34</v>
      </c>
      <c r="K199" s="5">
        <v>24</v>
      </c>
      <c r="L199" s="5">
        <v>24</v>
      </c>
      <c r="N199" s="35">
        <v>8</v>
      </c>
      <c r="O199" s="3" t="s">
        <v>35</v>
      </c>
      <c r="P199" s="7" t="s">
        <v>262</v>
      </c>
      <c r="Q199" s="7" t="s">
        <v>263</v>
      </c>
      <c r="V199" s="63" t="s">
        <v>177</v>
      </c>
    </row>
    <row r="200" spans="1:27" ht="12.75">
      <c r="A200" s="2" t="s">
        <v>646</v>
      </c>
      <c r="B200" s="4" t="s">
        <v>29</v>
      </c>
      <c r="C200" s="1" t="s">
        <v>42</v>
      </c>
      <c r="D200" s="7" t="s">
        <v>642</v>
      </c>
      <c r="E200" s="10">
        <v>217</v>
      </c>
      <c r="F200" s="4"/>
      <c r="G200" s="4" t="s">
        <v>44</v>
      </c>
      <c r="H200" s="4">
        <v>6</v>
      </c>
      <c r="I200" s="2">
        <v>1.5</v>
      </c>
      <c r="J200" s="3" t="s">
        <v>34</v>
      </c>
      <c r="K200" s="5">
        <v>24</v>
      </c>
      <c r="L200" s="5">
        <v>24</v>
      </c>
      <c r="N200" s="35">
        <v>8</v>
      </c>
      <c r="O200" s="3" t="s">
        <v>35</v>
      </c>
      <c r="P200" s="7" t="s">
        <v>474</v>
      </c>
      <c r="Q200" s="7" t="s">
        <v>475</v>
      </c>
      <c r="V200" s="63" t="s">
        <v>177</v>
      </c>
    </row>
    <row r="201" spans="1:27" ht="12.75">
      <c r="A201" s="2" t="s">
        <v>647</v>
      </c>
      <c r="B201" s="4" t="s">
        <v>29</v>
      </c>
      <c r="C201" s="6" t="s">
        <v>42</v>
      </c>
      <c r="D201" s="7" t="s">
        <v>642</v>
      </c>
      <c r="E201" s="10">
        <v>218</v>
      </c>
      <c r="F201" s="4"/>
      <c r="G201" s="4" t="s">
        <v>77</v>
      </c>
      <c r="H201" s="4">
        <v>6</v>
      </c>
      <c r="I201" s="2">
        <v>1.5</v>
      </c>
      <c r="J201" s="3" t="s">
        <v>78</v>
      </c>
      <c r="K201" s="23">
        <v>24</v>
      </c>
      <c r="L201" s="23">
        <v>24</v>
      </c>
      <c r="N201" s="4">
        <v>8</v>
      </c>
      <c r="O201" s="3" t="s">
        <v>648</v>
      </c>
      <c r="P201" s="25" t="s">
        <v>192</v>
      </c>
      <c r="Q201" s="25" t="s">
        <v>193</v>
      </c>
      <c r="V201" s="63" t="s">
        <v>177</v>
      </c>
    </row>
    <row r="202" spans="1:27" ht="13.5">
      <c r="A202" s="2" t="s">
        <v>649</v>
      </c>
      <c r="B202" s="3" t="s">
        <v>29</v>
      </c>
      <c r="C202" s="6" t="s">
        <v>42</v>
      </c>
      <c r="D202" s="7" t="s">
        <v>650</v>
      </c>
      <c r="E202" s="10">
        <v>219</v>
      </c>
      <c r="G202" s="4" t="s">
        <v>184</v>
      </c>
      <c r="H202" s="3">
        <v>1</v>
      </c>
      <c r="I202" s="2">
        <v>2.5</v>
      </c>
      <c r="J202" s="4" t="s">
        <v>34</v>
      </c>
      <c r="K202" s="5">
        <v>40</v>
      </c>
      <c r="L202" s="5">
        <v>40</v>
      </c>
      <c r="M202" s="5">
        <v>24</v>
      </c>
      <c r="N202" s="8">
        <v>4</v>
      </c>
      <c r="O202" s="3" t="s">
        <v>191</v>
      </c>
      <c r="P202" s="2" t="s">
        <v>196</v>
      </c>
      <c r="Q202" s="2" t="s">
        <v>197</v>
      </c>
      <c r="R202" s="63" t="s">
        <v>398</v>
      </c>
      <c r="S202" s="64" t="s">
        <v>172</v>
      </c>
    </row>
    <row r="203" spans="1:27" ht="13.5">
      <c r="A203" s="2" t="s">
        <v>651</v>
      </c>
      <c r="B203" s="4" t="s">
        <v>29</v>
      </c>
      <c r="C203" s="6" t="s">
        <v>42</v>
      </c>
      <c r="D203" s="7" t="s">
        <v>650</v>
      </c>
      <c r="E203" s="10">
        <v>220</v>
      </c>
      <c r="F203" s="3">
        <v>1</v>
      </c>
      <c r="G203" s="4" t="s">
        <v>190</v>
      </c>
      <c r="H203" s="3">
        <v>1</v>
      </c>
      <c r="I203" s="2">
        <v>2.5</v>
      </c>
      <c r="J203" s="4" t="s">
        <v>34</v>
      </c>
      <c r="K203" s="5">
        <v>40</v>
      </c>
      <c r="L203" s="5">
        <v>40</v>
      </c>
      <c r="M203" s="5">
        <v>24</v>
      </c>
      <c r="N203" s="8">
        <f>(L203+M203)/16</f>
        <v>4</v>
      </c>
      <c r="O203" s="3" t="s">
        <v>191</v>
      </c>
      <c r="P203" s="1" t="s">
        <v>202</v>
      </c>
      <c r="Q203" s="1" t="s">
        <v>203</v>
      </c>
      <c r="Z203" s="63" t="s">
        <v>398</v>
      </c>
      <c r="AA203" s="64" t="s">
        <v>118</v>
      </c>
    </row>
    <row r="204" spans="1:27" ht="13.5">
      <c r="A204" s="2" t="s">
        <v>652</v>
      </c>
      <c r="B204" s="4" t="s">
        <v>29</v>
      </c>
      <c r="C204" s="6" t="s">
        <v>42</v>
      </c>
      <c r="D204" s="7" t="s">
        <v>650</v>
      </c>
      <c r="E204" s="10">
        <v>220</v>
      </c>
      <c r="F204" s="3">
        <v>2</v>
      </c>
      <c r="G204" s="4" t="s">
        <v>190</v>
      </c>
      <c r="H204" s="3">
        <v>1</v>
      </c>
      <c r="I204" s="2">
        <v>2.5</v>
      </c>
      <c r="J204" s="4" t="s">
        <v>34</v>
      </c>
      <c r="K204" s="5">
        <v>40</v>
      </c>
      <c r="L204" s="5">
        <v>40</v>
      </c>
      <c r="M204" s="5">
        <v>24</v>
      </c>
      <c r="N204" s="8">
        <f>(L204+M204)/16</f>
        <v>4</v>
      </c>
      <c r="O204" s="3" t="s">
        <v>191</v>
      </c>
      <c r="P204" s="1" t="s">
        <v>594</v>
      </c>
      <c r="Q204" s="1" t="s">
        <v>595</v>
      </c>
      <c r="V204" s="63" t="s">
        <v>563</v>
      </c>
      <c r="W204" s="64" t="s">
        <v>332</v>
      </c>
    </row>
    <row r="205" spans="1:27" ht="13.5">
      <c r="A205" s="2" t="s">
        <v>653</v>
      </c>
      <c r="B205" s="4" t="s">
        <v>29</v>
      </c>
      <c r="C205" s="6" t="s">
        <v>42</v>
      </c>
      <c r="D205" s="7" t="s">
        <v>650</v>
      </c>
      <c r="E205" s="10">
        <v>222</v>
      </c>
      <c r="F205" s="3">
        <v>1</v>
      </c>
      <c r="G205" s="4" t="s">
        <v>200</v>
      </c>
      <c r="H205" s="3">
        <v>1</v>
      </c>
      <c r="I205" s="2">
        <f>40/16</f>
        <v>2.5</v>
      </c>
      <c r="J205" s="4" t="s">
        <v>34</v>
      </c>
      <c r="K205" s="5">
        <v>40</v>
      </c>
      <c r="L205" s="5">
        <v>40</v>
      </c>
      <c r="M205" s="5">
        <v>24</v>
      </c>
      <c r="N205" s="8">
        <v>4</v>
      </c>
      <c r="O205" s="3" t="s">
        <v>176</v>
      </c>
      <c r="P205" s="1" t="s">
        <v>100</v>
      </c>
      <c r="Q205" s="1" t="s">
        <v>101</v>
      </c>
      <c r="T205" s="63" t="s">
        <v>398</v>
      </c>
      <c r="U205" s="64" t="s">
        <v>204</v>
      </c>
    </row>
    <row r="206" spans="1:27" ht="13.5">
      <c r="A206" s="2" t="s">
        <v>654</v>
      </c>
      <c r="B206" s="4" t="s">
        <v>29</v>
      </c>
      <c r="C206" s="6" t="s">
        <v>42</v>
      </c>
      <c r="D206" s="7" t="s">
        <v>650</v>
      </c>
      <c r="E206" s="10">
        <v>222</v>
      </c>
      <c r="F206" s="3">
        <v>2</v>
      </c>
      <c r="G206" s="4" t="s">
        <v>200</v>
      </c>
      <c r="H206" s="3">
        <v>1</v>
      </c>
      <c r="I206" s="2">
        <f>40/16</f>
        <v>2.5</v>
      </c>
      <c r="J206" s="4" t="s">
        <v>34</v>
      </c>
      <c r="K206" s="5">
        <v>40</v>
      </c>
      <c r="L206" s="5">
        <v>40</v>
      </c>
      <c r="M206" s="5">
        <v>24</v>
      </c>
      <c r="N206" s="8">
        <v>4</v>
      </c>
      <c r="O206" s="3" t="s">
        <v>176</v>
      </c>
      <c r="P206" s="25" t="s">
        <v>314</v>
      </c>
      <c r="Q206" s="1" t="s">
        <v>315</v>
      </c>
      <c r="T206" s="63" t="s">
        <v>398</v>
      </c>
      <c r="U206" s="64" t="s">
        <v>118</v>
      </c>
    </row>
    <row r="207" spans="1:27" ht="13.5">
      <c r="A207" s="2" t="s">
        <v>655</v>
      </c>
      <c r="B207" s="4" t="s">
        <v>29</v>
      </c>
      <c r="C207" s="6" t="s">
        <v>42</v>
      </c>
      <c r="D207" s="7" t="s">
        <v>650</v>
      </c>
      <c r="E207" s="10">
        <v>222</v>
      </c>
      <c r="F207" s="3">
        <v>3</v>
      </c>
      <c r="G207" s="4" t="s">
        <v>200</v>
      </c>
      <c r="H207" s="3">
        <v>1</v>
      </c>
      <c r="I207" s="2">
        <f>40/16</f>
        <v>2.5</v>
      </c>
      <c r="J207" s="4" t="s">
        <v>34</v>
      </c>
      <c r="K207" s="5">
        <v>40</v>
      </c>
      <c r="L207" s="5">
        <v>40</v>
      </c>
      <c r="M207" s="5">
        <v>24</v>
      </c>
      <c r="N207" s="8">
        <v>4</v>
      </c>
      <c r="O207" s="3" t="s">
        <v>176</v>
      </c>
      <c r="P207" s="1" t="s">
        <v>202</v>
      </c>
      <c r="Q207" s="1" t="s">
        <v>203</v>
      </c>
      <c r="T207" s="63" t="s">
        <v>398</v>
      </c>
      <c r="U207" s="64" t="s">
        <v>64</v>
      </c>
    </row>
    <row r="208" spans="1:27" ht="13.5">
      <c r="A208" s="2" t="s">
        <v>656</v>
      </c>
      <c r="B208" s="4" t="s">
        <v>29</v>
      </c>
      <c r="C208" s="6" t="s">
        <v>42</v>
      </c>
      <c r="D208" s="7" t="s">
        <v>657</v>
      </c>
      <c r="E208" s="10">
        <v>225</v>
      </c>
      <c r="G208" s="4" t="s">
        <v>59</v>
      </c>
      <c r="H208" s="3">
        <v>5</v>
      </c>
      <c r="I208" s="2">
        <v>5</v>
      </c>
      <c r="J208" s="3" t="s">
        <v>34</v>
      </c>
      <c r="K208" s="5">
        <v>80</v>
      </c>
      <c r="L208" s="5">
        <v>80</v>
      </c>
      <c r="M208" s="5">
        <v>48</v>
      </c>
      <c r="N208" s="3">
        <f>(K208+M208)/16</f>
        <v>8</v>
      </c>
      <c r="O208" s="21" t="s">
        <v>35</v>
      </c>
      <c r="P208" s="2" t="s">
        <v>591</v>
      </c>
      <c r="Q208" s="1" t="s">
        <v>592</v>
      </c>
      <c r="R208" s="63" t="s">
        <v>354</v>
      </c>
      <c r="S208" s="64" t="s">
        <v>39</v>
      </c>
      <c r="T208" s="63" t="s">
        <v>414</v>
      </c>
      <c r="U208" s="64" t="s">
        <v>122</v>
      </c>
      <c r="Z208" s="63" t="s">
        <v>358</v>
      </c>
      <c r="AA208" s="64" t="s">
        <v>39</v>
      </c>
    </row>
    <row r="209" spans="1:28" ht="13.5">
      <c r="A209" s="2" t="s">
        <v>658</v>
      </c>
      <c r="B209" s="4" t="s">
        <v>29</v>
      </c>
      <c r="C209" s="6" t="s">
        <v>42</v>
      </c>
      <c r="D209" s="20" t="s">
        <v>657</v>
      </c>
      <c r="E209" s="10">
        <v>226</v>
      </c>
      <c r="G209" s="4" t="s">
        <v>137</v>
      </c>
      <c r="H209" s="3">
        <v>5</v>
      </c>
      <c r="I209" s="2">
        <v>5</v>
      </c>
      <c r="J209" s="3" t="s">
        <v>34</v>
      </c>
      <c r="K209" s="5">
        <v>80</v>
      </c>
      <c r="L209" s="5">
        <v>80</v>
      </c>
      <c r="M209" s="5">
        <v>80</v>
      </c>
      <c r="N209" s="3">
        <f>(K209+M209)/16</f>
        <v>10</v>
      </c>
      <c r="O209" s="21" t="s">
        <v>35</v>
      </c>
      <c r="P209" s="1" t="s">
        <v>531</v>
      </c>
      <c r="Q209" s="2" t="s">
        <v>532</v>
      </c>
      <c r="R209" s="63" t="s">
        <v>38</v>
      </c>
      <c r="S209" s="64" t="s">
        <v>110</v>
      </c>
      <c r="V209" s="2" t="s">
        <v>123</v>
      </c>
      <c r="W209" s="2" t="s">
        <v>162</v>
      </c>
      <c r="X209" s="63"/>
      <c r="Y209" s="64"/>
      <c r="Z209" s="63" t="s">
        <v>124</v>
      </c>
      <c r="AA209" s="64" t="s">
        <v>122</v>
      </c>
    </row>
    <row r="210" spans="1:28" ht="13.5">
      <c r="A210" s="2" t="s">
        <v>659</v>
      </c>
      <c r="B210" s="4" t="s">
        <v>29</v>
      </c>
      <c r="C210" s="1" t="s">
        <v>42</v>
      </c>
      <c r="D210" s="7" t="s">
        <v>657</v>
      </c>
      <c r="E210" s="10">
        <v>227</v>
      </c>
      <c r="G210" s="4" t="s">
        <v>133</v>
      </c>
      <c r="H210" s="3">
        <v>4</v>
      </c>
      <c r="I210" s="2">
        <v>2.5</v>
      </c>
      <c r="J210" s="3" t="s">
        <v>86</v>
      </c>
      <c r="K210" s="5">
        <f>L210/2</f>
        <v>40</v>
      </c>
      <c r="L210" s="5">
        <v>80</v>
      </c>
      <c r="M210" s="5">
        <v>80</v>
      </c>
      <c r="N210" s="3">
        <f>(L210+M210)/16</f>
        <v>10</v>
      </c>
      <c r="O210" s="3" t="s">
        <v>35</v>
      </c>
      <c r="P210" s="1" t="s">
        <v>591</v>
      </c>
      <c r="Q210" s="2" t="s">
        <v>592</v>
      </c>
      <c r="V210" s="63" t="s">
        <v>252</v>
      </c>
      <c r="W210" s="64" t="s">
        <v>48</v>
      </c>
    </row>
    <row r="211" spans="1:28" ht="13.5">
      <c r="A211" s="2" t="s">
        <v>660</v>
      </c>
      <c r="B211" s="4" t="s">
        <v>29</v>
      </c>
      <c r="C211" s="1" t="s">
        <v>42</v>
      </c>
      <c r="D211" s="7" t="s">
        <v>657</v>
      </c>
      <c r="E211" s="10">
        <v>228</v>
      </c>
      <c r="G211" s="4" t="s">
        <v>44</v>
      </c>
      <c r="H211" s="3">
        <v>4</v>
      </c>
      <c r="I211" s="2">
        <v>2.5</v>
      </c>
      <c r="J211" s="3" t="s">
        <v>86</v>
      </c>
      <c r="K211" s="5">
        <f>L211/2</f>
        <v>36</v>
      </c>
      <c r="L211" s="5">
        <v>72</v>
      </c>
      <c r="M211" s="5">
        <v>40</v>
      </c>
      <c r="N211" s="3">
        <f>(L211+M211)/16</f>
        <v>7</v>
      </c>
      <c r="O211" s="3" t="s">
        <v>35</v>
      </c>
      <c r="P211" s="1" t="s">
        <v>591</v>
      </c>
      <c r="Q211" s="2" t="s">
        <v>592</v>
      </c>
      <c r="T211" s="63" t="s">
        <v>407</v>
      </c>
      <c r="U211" s="64" t="s">
        <v>204</v>
      </c>
    </row>
    <row r="212" spans="1:28" ht="13.5">
      <c r="A212" s="2" t="s">
        <v>661</v>
      </c>
      <c r="B212" s="4" t="s">
        <v>29</v>
      </c>
      <c r="C212" s="6" t="s">
        <v>42</v>
      </c>
      <c r="D212" s="20" t="s">
        <v>662</v>
      </c>
      <c r="E212" s="10">
        <v>229</v>
      </c>
      <c r="F212" s="3">
        <v>1</v>
      </c>
      <c r="G212" s="4" t="s">
        <v>106</v>
      </c>
      <c r="H212" s="24">
        <v>3</v>
      </c>
      <c r="I212" s="2">
        <v>5</v>
      </c>
      <c r="J212" s="3" t="s">
        <v>34</v>
      </c>
      <c r="K212" s="5">
        <v>80</v>
      </c>
      <c r="L212" s="5">
        <v>80</v>
      </c>
      <c r="M212" s="5">
        <v>48</v>
      </c>
      <c r="N212" s="3">
        <f>(K212+M212)/16</f>
        <v>8</v>
      </c>
      <c r="O212" s="21" t="s">
        <v>35</v>
      </c>
      <c r="P212" s="1" t="s">
        <v>292</v>
      </c>
      <c r="Q212" s="1" t="s">
        <v>293</v>
      </c>
      <c r="T212" s="63" t="s">
        <v>140</v>
      </c>
      <c r="U212" s="64" t="s">
        <v>111</v>
      </c>
      <c r="X212" s="63" t="s">
        <v>159</v>
      </c>
      <c r="Y212" s="64" t="s">
        <v>97</v>
      </c>
      <c r="Z212" s="63" t="s">
        <v>148</v>
      </c>
      <c r="AA212" s="64" t="s">
        <v>332</v>
      </c>
    </row>
    <row r="213" spans="1:28" ht="13.5">
      <c r="A213" s="2" t="s">
        <v>663</v>
      </c>
      <c r="B213" s="4" t="s">
        <v>29</v>
      </c>
      <c r="C213" s="6" t="s">
        <v>42</v>
      </c>
      <c r="D213" s="20" t="s">
        <v>662</v>
      </c>
      <c r="E213" s="10">
        <v>229</v>
      </c>
      <c r="F213" s="3">
        <v>2</v>
      </c>
      <c r="G213" s="4" t="s">
        <v>106</v>
      </c>
      <c r="H213" s="24">
        <v>3</v>
      </c>
      <c r="I213" s="2">
        <v>5</v>
      </c>
      <c r="J213" s="3" t="s">
        <v>34</v>
      </c>
      <c r="K213" s="5">
        <v>80</v>
      </c>
      <c r="L213" s="5">
        <v>80</v>
      </c>
      <c r="M213" s="5">
        <v>48</v>
      </c>
      <c r="N213" s="3">
        <f>(K213+M213)/16</f>
        <v>8</v>
      </c>
      <c r="O213" s="21" t="s">
        <v>35</v>
      </c>
      <c r="P213" s="1" t="s">
        <v>516</v>
      </c>
      <c r="Q213" s="1" t="s">
        <v>517</v>
      </c>
      <c r="R213" s="63" t="s">
        <v>124</v>
      </c>
      <c r="S213" s="64" t="s">
        <v>122</v>
      </c>
      <c r="V213" s="63" t="s">
        <v>103</v>
      </c>
      <c r="W213" s="64" t="s">
        <v>160</v>
      </c>
      <c r="Z213" s="63" t="s">
        <v>124</v>
      </c>
      <c r="AA213" s="64" t="s">
        <v>149</v>
      </c>
    </row>
    <row r="214" spans="1:28" ht="26.25" customHeight="1">
      <c r="A214" s="2" t="s">
        <v>664</v>
      </c>
      <c r="B214" s="4" t="s">
        <v>29</v>
      </c>
      <c r="C214" s="6" t="s">
        <v>42</v>
      </c>
      <c r="D214" s="20" t="s">
        <v>662</v>
      </c>
      <c r="E214" s="10">
        <v>229</v>
      </c>
      <c r="F214" s="3">
        <v>3</v>
      </c>
      <c r="G214" s="4" t="s">
        <v>106</v>
      </c>
      <c r="H214" s="24">
        <v>3</v>
      </c>
      <c r="I214" s="2">
        <v>5</v>
      </c>
      <c r="J214" s="3" t="s">
        <v>34</v>
      </c>
      <c r="K214" s="5">
        <v>80</v>
      </c>
      <c r="L214" s="5">
        <v>80</v>
      </c>
      <c r="M214" s="5">
        <v>48</v>
      </c>
      <c r="N214" s="3">
        <f>(K214+M214)/16</f>
        <v>8</v>
      </c>
      <c r="O214" s="21" t="s">
        <v>35</v>
      </c>
      <c r="P214" s="1" t="s">
        <v>618</v>
      </c>
      <c r="Q214" s="1" t="s">
        <v>619</v>
      </c>
      <c r="T214" s="63" t="s">
        <v>109</v>
      </c>
      <c r="U214" s="64" t="s">
        <v>165</v>
      </c>
      <c r="V214" s="63" t="s">
        <v>103</v>
      </c>
      <c r="W214" s="64" t="s">
        <v>165</v>
      </c>
      <c r="X214" s="63" t="s">
        <v>311</v>
      </c>
      <c r="Y214" s="64" t="s">
        <v>162</v>
      </c>
    </row>
    <row r="215" spans="1:28" ht="13.5">
      <c r="A215" s="2" t="s">
        <v>665</v>
      </c>
      <c r="B215" s="4" t="s">
        <v>29</v>
      </c>
      <c r="C215" s="1" t="s">
        <v>42</v>
      </c>
      <c r="D215" s="7" t="s">
        <v>666</v>
      </c>
      <c r="E215" s="10">
        <v>232</v>
      </c>
      <c r="G215" s="4" t="s">
        <v>106</v>
      </c>
      <c r="H215" s="3">
        <v>4</v>
      </c>
      <c r="I215" s="2">
        <v>2.5</v>
      </c>
      <c r="J215" s="3" t="s">
        <v>86</v>
      </c>
      <c r="K215" s="5">
        <f>L215/2</f>
        <v>40</v>
      </c>
      <c r="L215" s="5">
        <v>80</v>
      </c>
      <c r="M215" s="5">
        <v>48</v>
      </c>
      <c r="N215" s="3">
        <f>(L215+M215)/16</f>
        <v>8</v>
      </c>
      <c r="O215" s="3" t="s">
        <v>35</v>
      </c>
      <c r="P215" s="6" t="s">
        <v>667</v>
      </c>
      <c r="Q215" s="6" t="s">
        <v>668</v>
      </c>
      <c r="Z215" s="63" t="s">
        <v>529</v>
      </c>
      <c r="AA215" s="64" t="s">
        <v>172</v>
      </c>
    </row>
    <row r="216" spans="1:28" ht="13.5">
      <c r="A216" s="2" t="s">
        <v>669</v>
      </c>
      <c r="B216" s="4" t="s">
        <v>29</v>
      </c>
      <c r="C216" s="6" t="s">
        <v>42</v>
      </c>
      <c r="D216" s="20" t="s">
        <v>670</v>
      </c>
      <c r="E216" s="10">
        <v>233</v>
      </c>
      <c r="F216" s="3">
        <v>1</v>
      </c>
      <c r="G216" s="4" t="s">
        <v>106</v>
      </c>
      <c r="H216" s="3">
        <v>5</v>
      </c>
      <c r="I216" s="2">
        <v>5</v>
      </c>
      <c r="J216" s="3" t="s">
        <v>34</v>
      </c>
      <c r="K216" s="5">
        <v>80</v>
      </c>
      <c r="L216" s="5">
        <v>80</v>
      </c>
      <c r="M216" s="5">
        <v>48</v>
      </c>
      <c r="N216" s="3">
        <f t="shared" ref="N216:N221" si="5">(K216+M216)/16</f>
        <v>8</v>
      </c>
      <c r="O216" s="21" t="s">
        <v>35</v>
      </c>
      <c r="P216" s="1" t="s">
        <v>671</v>
      </c>
      <c r="Q216" s="6" t="s">
        <v>672</v>
      </c>
      <c r="T216" s="63" t="s">
        <v>55</v>
      </c>
      <c r="U216" s="64" t="s">
        <v>48</v>
      </c>
      <c r="V216" s="63" t="s">
        <v>152</v>
      </c>
      <c r="W216" s="64" t="s">
        <v>48</v>
      </c>
      <c r="Z216" s="63" t="s">
        <v>249</v>
      </c>
      <c r="AA216" s="64" t="s">
        <v>83</v>
      </c>
      <c r="AB216" s="71"/>
    </row>
    <row r="217" spans="1:28" ht="13.5">
      <c r="A217" s="2" t="s">
        <v>673</v>
      </c>
      <c r="B217" s="4" t="s">
        <v>29</v>
      </c>
      <c r="C217" s="6" t="s">
        <v>42</v>
      </c>
      <c r="D217" s="20" t="s">
        <v>670</v>
      </c>
      <c r="E217" s="10">
        <v>233</v>
      </c>
      <c r="F217" s="3">
        <v>2</v>
      </c>
      <c r="G217" s="4" t="s">
        <v>106</v>
      </c>
      <c r="H217" s="3">
        <v>5</v>
      </c>
      <c r="I217" s="2">
        <v>5</v>
      </c>
      <c r="J217" s="3" t="s">
        <v>34</v>
      </c>
      <c r="K217" s="5">
        <v>80</v>
      </c>
      <c r="L217" s="5">
        <v>80</v>
      </c>
      <c r="M217" s="5">
        <v>48</v>
      </c>
      <c r="N217" s="3">
        <f t="shared" si="5"/>
        <v>8</v>
      </c>
      <c r="O217" s="21" t="s">
        <v>35</v>
      </c>
      <c r="P217" s="1" t="s">
        <v>671</v>
      </c>
      <c r="Q217" s="6" t="s">
        <v>672</v>
      </c>
      <c r="R217" s="63" t="s">
        <v>152</v>
      </c>
      <c r="S217" s="64" t="s">
        <v>48</v>
      </c>
      <c r="V217" s="63" t="s">
        <v>272</v>
      </c>
      <c r="W217" s="64" t="s">
        <v>162</v>
      </c>
      <c r="Z217" s="63" t="s">
        <v>38</v>
      </c>
      <c r="AA217" s="64" t="s">
        <v>149</v>
      </c>
      <c r="AB217" s="71"/>
    </row>
    <row r="218" spans="1:28" ht="13.5">
      <c r="A218" s="2" t="s">
        <v>674</v>
      </c>
      <c r="B218" s="4" t="s">
        <v>29</v>
      </c>
      <c r="C218" s="6" t="s">
        <v>42</v>
      </c>
      <c r="D218" s="7" t="s">
        <v>675</v>
      </c>
      <c r="E218" s="10">
        <v>235</v>
      </c>
      <c r="G218" s="4" t="s">
        <v>106</v>
      </c>
      <c r="H218" s="3">
        <v>7</v>
      </c>
      <c r="I218" s="2">
        <v>2.5</v>
      </c>
      <c r="J218" s="3" t="s">
        <v>34</v>
      </c>
      <c r="K218" s="5">
        <v>40</v>
      </c>
      <c r="L218" s="5">
        <v>40</v>
      </c>
      <c r="M218" s="5">
        <v>40</v>
      </c>
      <c r="N218" s="3">
        <f t="shared" si="5"/>
        <v>5</v>
      </c>
      <c r="O218" s="21" t="s">
        <v>35</v>
      </c>
      <c r="P218" s="1" t="s">
        <v>516</v>
      </c>
      <c r="Q218" s="1" t="s">
        <v>517</v>
      </c>
      <c r="V218" s="63" t="s">
        <v>228</v>
      </c>
      <c r="W218" s="64" t="s">
        <v>73</v>
      </c>
    </row>
    <row r="219" spans="1:28" ht="13.5">
      <c r="A219" s="2" t="s">
        <v>676</v>
      </c>
      <c r="B219" s="4" t="s">
        <v>29</v>
      </c>
      <c r="C219" s="6" t="s">
        <v>42</v>
      </c>
      <c r="D219" s="20" t="s">
        <v>677</v>
      </c>
      <c r="E219" s="10">
        <v>236</v>
      </c>
      <c r="F219" s="3">
        <v>1</v>
      </c>
      <c r="G219" s="4" t="s">
        <v>106</v>
      </c>
      <c r="H219" s="3">
        <v>5</v>
      </c>
      <c r="I219" s="2">
        <v>3</v>
      </c>
      <c r="J219" s="3" t="s">
        <v>34</v>
      </c>
      <c r="K219" s="5">
        <v>48</v>
      </c>
      <c r="L219" s="5">
        <v>48</v>
      </c>
      <c r="M219" s="5">
        <v>48</v>
      </c>
      <c r="N219" s="3">
        <f t="shared" si="5"/>
        <v>6</v>
      </c>
      <c r="O219" s="21" t="s">
        <v>35</v>
      </c>
      <c r="P219" s="1" t="s">
        <v>614</v>
      </c>
      <c r="Q219" s="1" t="s">
        <v>615</v>
      </c>
      <c r="T219" s="63" t="s">
        <v>72</v>
      </c>
      <c r="U219" s="64" t="s">
        <v>215</v>
      </c>
      <c r="Z219" s="63" t="s">
        <v>72</v>
      </c>
      <c r="AA219" s="64" t="s">
        <v>215</v>
      </c>
    </row>
    <row r="220" spans="1:28" ht="13.5">
      <c r="A220" s="2" t="s">
        <v>678</v>
      </c>
      <c r="B220" s="4" t="s">
        <v>29</v>
      </c>
      <c r="C220" s="6" t="s">
        <v>42</v>
      </c>
      <c r="D220" s="20" t="s">
        <v>677</v>
      </c>
      <c r="E220" s="10">
        <v>236</v>
      </c>
      <c r="F220" s="3">
        <v>2</v>
      </c>
      <c r="G220" s="4" t="s">
        <v>106</v>
      </c>
      <c r="H220" s="3">
        <v>5</v>
      </c>
      <c r="I220" s="2">
        <v>3</v>
      </c>
      <c r="J220" s="3" t="s">
        <v>34</v>
      </c>
      <c r="K220" s="5">
        <v>48</v>
      </c>
      <c r="L220" s="5">
        <v>48</v>
      </c>
      <c r="M220" s="5">
        <v>48</v>
      </c>
      <c r="N220" s="3">
        <f t="shared" si="5"/>
        <v>6</v>
      </c>
      <c r="O220" s="21" t="s">
        <v>35</v>
      </c>
      <c r="P220" s="2" t="s">
        <v>679</v>
      </c>
      <c r="Q220" s="2" t="s">
        <v>680</v>
      </c>
      <c r="T220" s="63" t="s">
        <v>72</v>
      </c>
      <c r="U220" s="64" t="s">
        <v>216</v>
      </c>
      <c r="V220" s="63" t="s">
        <v>276</v>
      </c>
      <c r="W220" s="64" t="s">
        <v>216</v>
      </c>
    </row>
    <row r="221" spans="1:28" ht="13.5">
      <c r="A221" s="2" t="s">
        <v>681</v>
      </c>
      <c r="B221" s="4" t="s">
        <v>29</v>
      </c>
      <c r="C221" s="6" t="s">
        <v>42</v>
      </c>
      <c r="D221" s="20" t="s">
        <v>677</v>
      </c>
      <c r="E221" s="10">
        <v>236</v>
      </c>
      <c r="F221" s="3">
        <v>3</v>
      </c>
      <c r="G221" s="4" t="s">
        <v>106</v>
      </c>
      <c r="H221" s="3">
        <v>5</v>
      </c>
      <c r="I221" s="2">
        <v>3</v>
      </c>
      <c r="J221" s="3" t="s">
        <v>34</v>
      </c>
      <c r="K221" s="5">
        <v>48</v>
      </c>
      <c r="L221" s="5">
        <v>48</v>
      </c>
      <c r="M221" s="5">
        <v>48</v>
      </c>
      <c r="N221" s="3">
        <f t="shared" si="5"/>
        <v>6</v>
      </c>
      <c r="O221" s="21" t="s">
        <v>35</v>
      </c>
      <c r="P221" s="1" t="s">
        <v>69</v>
      </c>
      <c r="Q221" s="2" t="s">
        <v>403</v>
      </c>
      <c r="T221" s="63" t="s">
        <v>72</v>
      </c>
      <c r="U221" s="64" t="s">
        <v>257</v>
      </c>
      <c r="Z221" s="63" t="s">
        <v>358</v>
      </c>
      <c r="AA221" s="64" t="s">
        <v>257</v>
      </c>
    </row>
    <row r="222" spans="1:28" ht="13.5">
      <c r="A222" s="2" t="s">
        <v>682</v>
      </c>
      <c r="B222" s="4" t="s">
        <v>29</v>
      </c>
      <c r="C222" s="1" t="s">
        <v>42</v>
      </c>
      <c r="D222" s="7" t="s">
        <v>677</v>
      </c>
      <c r="E222" s="10">
        <v>239</v>
      </c>
      <c r="F222" s="4"/>
      <c r="G222" s="4" t="s">
        <v>133</v>
      </c>
      <c r="H222" s="3">
        <v>2</v>
      </c>
      <c r="I222" s="2">
        <v>2.5</v>
      </c>
      <c r="J222" s="3" t="s">
        <v>86</v>
      </c>
      <c r="K222" s="5">
        <f>L222/2</f>
        <v>36</v>
      </c>
      <c r="L222" s="5">
        <v>72</v>
      </c>
      <c r="M222" s="5">
        <v>56</v>
      </c>
      <c r="N222" s="3">
        <f>(L222+M222)/16</f>
        <v>8</v>
      </c>
      <c r="O222" s="3" t="s">
        <v>35</v>
      </c>
      <c r="P222" s="2" t="s">
        <v>679</v>
      </c>
      <c r="Q222" s="2" t="s">
        <v>680</v>
      </c>
      <c r="R222" s="63" t="s">
        <v>134</v>
      </c>
      <c r="S222" s="64" t="s">
        <v>62</v>
      </c>
    </row>
    <row r="223" spans="1:28" ht="12.75">
      <c r="A223" s="2" t="s">
        <v>683</v>
      </c>
      <c r="B223" s="4" t="s">
        <v>29</v>
      </c>
      <c r="C223" s="1" t="s">
        <v>42</v>
      </c>
      <c r="D223" s="7" t="s">
        <v>684</v>
      </c>
      <c r="E223" s="10">
        <v>240</v>
      </c>
      <c r="G223" s="4" t="s">
        <v>120</v>
      </c>
      <c r="H223" s="3">
        <v>2</v>
      </c>
      <c r="I223" s="2">
        <v>2.5</v>
      </c>
      <c r="J223" s="3" t="s">
        <v>86</v>
      </c>
      <c r="K223" s="5">
        <f>L223/2</f>
        <v>36</v>
      </c>
      <c r="L223" s="5">
        <v>72</v>
      </c>
      <c r="M223" s="5">
        <v>40</v>
      </c>
      <c r="N223" s="3">
        <f>(L223+M223)/16</f>
        <v>7</v>
      </c>
      <c r="O223" s="3" t="s">
        <v>35</v>
      </c>
      <c r="P223" s="2" t="s">
        <v>60</v>
      </c>
      <c r="Q223" s="7" t="s">
        <v>61</v>
      </c>
      <c r="V223" s="63" t="s">
        <v>169</v>
      </c>
      <c r="W223" s="2" t="s">
        <v>685</v>
      </c>
    </row>
    <row r="224" spans="1:28" ht="13.5">
      <c r="A224" s="2" t="s">
        <v>686</v>
      </c>
      <c r="B224" s="4" t="s">
        <v>29</v>
      </c>
      <c r="C224" s="1" t="s">
        <v>42</v>
      </c>
      <c r="D224" s="7" t="s">
        <v>687</v>
      </c>
      <c r="E224" s="10">
        <v>241</v>
      </c>
      <c r="F224" s="3">
        <v>4</v>
      </c>
      <c r="G224" s="4" t="s">
        <v>120</v>
      </c>
      <c r="H224" s="37" t="s">
        <v>688</v>
      </c>
      <c r="I224" s="2">
        <v>4</v>
      </c>
      <c r="J224" s="3" t="s">
        <v>538</v>
      </c>
      <c r="K224" s="5">
        <v>72</v>
      </c>
      <c r="L224" s="5">
        <v>72</v>
      </c>
      <c r="M224" s="5">
        <v>56</v>
      </c>
      <c r="N224" s="3">
        <f>(L224+M224)/16</f>
        <v>8</v>
      </c>
      <c r="O224" s="3" t="s">
        <v>35</v>
      </c>
      <c r="P224" s="2" t="s">
        <v>69</v>
      </c>
      <c r="Q224" s="1" t="s">
        <v>403</v>
      </c>
      <c r="V224" s="63" t="s">
        <v>102</v>
      </c>
      <c r="W224" s="64" t="s">
        <v>257</v>
      </c>
      <c r="Z224" s="63" t="s">
        <v>102</v>
      </c>
      <c r="AA224" s="64" t="s">
        <v>257</v>
      </c>
    </row>
    <row r="225" spans="1:28" ht="13.5">
      <c r="A225" s="2" t="s">
        <v>689</v>
      </c>
      <c r="B225" s="4" t="s">
        <v>29</v>
      </c>
      <c r="C225" s="6" t="s">
        <v>42</v>
      </c>
      <c r="D225" s="7" t="s">
        <v>687</v>
      </c>
      <c r="E225" s="10">
        <v>241</v>
      </c>
      <c r="F225" s="3">
        <v>1</v>
      </c>
      <c r="G225" s="4" t="s">
        <v>44</v>
      </c>
      <c r="H225" s="3">
        <v>3</v>
      </c>
      <c r="I225" s="2">
        <v>4</v>
      </c>
      <c r="J225" s="3" t="s">
        <v>34</v>
      </c>
      <c r="K225" s="5">
        <v>72</v>
      </c>
      <c r="L225" s="5">
        <v>72</v>
      </c>
      <c r="M225" s="5">
        <v>56</v>
      </c>
      <c r="N225" s="3">
        <f t="shared" ref="N225:N232" si="6">(K225+M225)/16</f>
        <v>8</v>
      </c>
      <c r="O225" s="21" t="s">
        <v>35</v>
      </c>
      <c r="P225" s="1" t="s">
        <v>279</v>
      </c>
      <c r="Q225" s="1" t="s">
        <v>280</v>
      </c>
      <c r="V225" s="63" t="s">
        <v>164</v>
      </c>
      <c r="W225" s="64" t="s">
        <v>257</v>
      </c>
      <c r="Z225" s="63" t="s">
        <v>102</v>
      </c>
      <c r="AA225" s="64" t="s">
        <v>216</v>
      </c>
    </row>
    <row r="226" spans="1:28" ht="13.5">
      <c r="A226" s="2" t="s">
        <v>690</v>
      </c>
      <c r="B226" s="4" t="s">
        <v>29</v>
      </c>
      <c r="C226" s="6" t="s">
        <v>42</v>
      </c>
      <c r="D226" s="7" t="s">
        <v>687</v>
      </c>
      <c r="E226" s="10">
        <v>241</v>
      </c>
      <c r="F226" s="3">
        <v>2</v>
      </c>
      <c r="G226" s="4" t="s">
        <v>44</v>
      </c>
      <c r="H226" s="3">
        <v>3</v>
      </c>
      <c r="I226" s="2">
        <v>4</v>
      </c>
      <c r="J226" s="3" t="s">
        <v>34</v>
      </c>
      <c r="K226" s="5">
        <v>72</v>
      </c>
      <c r="L226" s="5">
        <v>72</v>
      </c>
      <c r="M226" s="5">
        <v>56</v>
      </c>
      <c r="N226" s="3">
        <f t="shared" si="6"/>
        <v>8</v>
      </c>
      <c r="O226" s="21" t="s">
        <v>35</v>
      </c>
      <c r="P226" s="2" t="s">
        <v>383</v>
      </c>
      <c r="Q226" s="2" t="s">
        <v>384</v>
      </c>
      <c r="T226" s="63" t="s">
        <v>173</v>
      </c>
      <c r="U226" s="64" t="s">
        <v>257</v>
      </c>
      <c r="Z226" s="63" t="s">
        <v>102</v>
      </c>
      <c r="AA226" s="64" t="s">
        <v>226</v>
      </c>
    </row>
    <row r="227" spans="1:28" ht="13.5">
      <c r="A227" s="2" t="s">
        <v>691</v>
      </c>
      <c r="B227" s="4" t="s">
        <v>29</v>
      </c>
      <c r="C227" s="6" t="s">
        <v>42</v>
      </c>
      <c r="D227" s="7" t="s">
        <v>687</v>
      </c>
      <c r="E227" s="10">
        <v>241</v>
      </c>
      <c r="F227" s="3">
        <v>3</v>
      </c>
      <c r="G227" s="4" t="s">
        <v>44</v>
      </c>
      <c r="H227" s="3">
        <v>3</v>
      </c>
      <c r="I227" s="2">
        <v>4</v>
      </c>
      <c r="J227" s="3" t="s">
        <v>34</v>
      </c>
      <c r="K227" s="5">
        <v>72</v>
      </c>
      <c r="L227" s="5">
        <v>72</v>
      </c>
      <c r="M227" s="5">
        <v>56</v>
      </c>
      <c r="N227" s="3">
        <f t="shared" si="6"/>
        <v>8</v>
      </c>
      <c r="O227" s="21" t="s">
        <v>35</v>
      </c>
      <c r="P227" s="2" t="s">
        <v>456</v>
      </c>
      <c r="Q227" s="1" t="s">
        <v>457</v>
      </c>
      <c r="T227" s="63" t="s">
        <v>140</v>
      </c>
      <c r="U227" s="64" t="s">
        <v>226</v>
      </c>
      <c r="X227" s="63" t="s">
        <v>194</v>
      </c>
      <c r="Y227" s="64" t="s">
        <v>216</v>
      </c>
    </row>
    <row r="228" spans="1:28" ht="27">
      <c r="A228" s="2" t="s">
        <v>692</v>
      </c>
      <c r="B228" s="4" t="s">
        <v>29</v>
      </c>
      <c r="C228" s="6" t="s">
        <v>42</v>
      </c>
      <c r="D228" s="20" t="s">
        <v>693</v>
      </c>
      <c r="E228" s="10">
        <v>245</v>
      </c>
      <c r="G228" s="4" t="s">
        <v>133</v>
      </c>
      <c r="H228" s="3">
        <v>7</v>
      </c>
      <c r="I228" s="2">
        <v>4.5</v>
      </c>
      <c r="J228" s="4" t="s">
        <v>34</v>
      </c>
      <c r="K228" s="5">
        <v>72</v>
      </c>
      <c r="L228" s="5">
        <v>72</v>
      </c>
      <c r="M228" s="5">
        <v>56</v>
      </c>
      <c r="N228" s="3">
        <f t="shared" si="6"/>
        <v>8</v>
      </c>
      <c r="O228" s="21" t="s">
        <v>35</v>
      </c>
      <c r="P228" s="1" t="s">
        <v>444</v>
      </c>
      <c r="Q228" s="1" t="s">
        <v>445</v>
      </c>
      <c r="R228" s="63" t="s">
        <v>333</v>
      </c>
      <c r="S228" s="64" t="s">
        <v>260</v>
      </c>
      <c r="X228" s="63" t="s">
        <v>154</v>
      </c>
      <c r="Y228" s="64" t="s">
        <v>260</v>
      </c>
      <c r="Z228" s="63" t="s">
        <v>358</v>
      </c>
      <c r="AA228" s="64" t="s">
        <v>260</v>
      </c>
    </row>
    <row r="229" spans="1:28" ht="27">
      <c r="A229" s="2" t="s">
        <v>694</v>
      </c>
      <c r="B229" s="4" t="s">
        <v>29</v>
      </c>
      <c r="C229" s="6" t="s">
        <v>42</v>
      </c>
      <c r="D229" s="7" t="s">
        <v>695</v>
      </c>
      <c r="E229" s="10">
        <v>246</v>
      </c>
      <c r="F229" s="3">
        <v>1</v>
      </c>
      <c r="G229" s="4" t="s">
        <v>44</v>
      </c>
      <c r="H229" s="3">
        <v>7</v>
      </c>
      <c r="I229" s="2">
        <v>4.5</v>
      </c>
      <c r="J229" s="3" t="s">
        <v>34</v>
      </c>
      <c r="K229" s="5">
        <v>72</v>
      </c>
      <c r="L229" s="5">
        <v>72</v>
      </c>
      <c r="M229" s="5">
        <v>40</v>
      </c>
      <c r="N229" s="3">
        <f t="shared" si="6"/>
        <v>7</v>
      </c>
      <c r="O229" s="3" t="s">
        <v>35</v>
      </c>
      <c r="P229" s="1" t="s">
        <v>579</v>
      </c>
      <c r="Q229" s="1" t="s">
        <v>580</v>
      </c>
      <c r="T229" s="63" t="s">
        <v>72</v>
      </c>
      <c r="U229" s="64" t="s">
        <v>260</v>
      </c>
      <c r="V229" s="63" t="s">
        <v>123</v>
      </c>
      <c r="W229" s="64" t="s">
        <v>260</v>
      </c>
      <c r="X229" s="63" t="s">
        <v>72</v>
      </c>
      <c r="Y229" s="64" t="s">
        <v>260</v>
      </c>
    </row>
    <row r="230" spans="1:28" ht="27">
      <c r="A230" s="2" t="s">
        <v>696</v>
      </c>
      <c r="B230" s="4" t="s">
        <v>29</v>
      </c>
      <c r="C230" s="6" t="s">
        <v>42</v>
      </c>
      <c r="D230" s="7" t="s">
        <v>695</v>
      </c>
      <c r="E230" s="10">
        <v>246</v>
      </c>
      <c r="F230" s="3">
        <v>2</v>
      </c>
      <c r="G230" s="4" t="s">
        <v>44</v>
      </c>
      <c r="H230" s="3">
        <v>7</v>
      </c>
      <c r="I230" s="2">
        <v>4.5</v>
      </c>
      <c r="J230" s="3" t="s">
        <v>34</v>
      </c>
      <c r="K230" s="5">
        <v>72</v>
      </c>
      <c r="L230" s="5">
        <v>72</v>
      </c>
      <c r="M230" s="5">
        <v>40</v>
      </c>
      <c r="N230" s="3">
        <f t="shared" si="6"/>
        <v>7</v>
      </c>
      <c r="O230" s="3" t="s">
        <v>35</v>
      </c>
      <c r="P230" s="1" t="s">
        <v>697</v>
      </c>
      <c r="Q230" s="1" t="s">
        <v>698</v>
      </c>
      <c r="R230" s="63" t="s">
        <v>249</v>
      </c>
      <c r="S230" s="64" t="s">
        <v>260</v>
      </c>
      <c r="T230" s="63" t="s">
        <v>154</v>
      </c>
      <c r="U230" s="64" t="s">
        <v>260</v>
      </c>
      <c r="V230" s="63" t="s">
        <v>74</v>
      </c>
      <c r="W230" s="64" t="s">
        <v>260</v>
      </c>
      <c r="AB230" s="71"/>
    </row>
    <row r="231" spans="1:28" ht="13.5">
      <c r="A231" s="2" t="s">
        <v>699</v>
      </c>
      <c r="B231" s="4" t="s">
        <v>29</v>
      </c>
      <c r="C231" s="6" t="s">
        <v>42</v>
      </c>
      <c r="D231" s="20" t="s">
        <v>700</v>
      </c>
      <c r="E231" s="10">
        <v>248</v>
      </c>
      <c r="F231" s="3">
        <v>1</v>
      </c>
      <c r="G231" s="4" t="s">
        <v>106</v>
      </c>
      <c r="H231" s="3">
        <v>5</v>
      </c>
      <c r="I231" s="2">
        <v>3</v>
      </c>
      <c r="J231" s="3" t="s">
        <v>34</v>
      </c>
      <c r="K231" s="5">
        <v>48</v>
      </c>
      <c r="L231" s="5">
        <v>48</v>
      </c>
      <c r="M231" s="5">
        <v>48</v>
      </c>
      <c r="N231" s="3">
        <f t="shared" si="6"/>
        <v>6</v>
      </c>
      <c r="O231" s="21" t="s">
        <v>35</v>
      </c>
      <c r="P231" s="1" t="s">
        <v>531</v>
      </c>
      <c r="Q231" s="2" t="s">
        <v>532</v>
      </c>
      <c r="T231" s="63" t="s">
        <v>276</v>
      </c>
      <c r="U231" s="64" t="s">
        <v>73</v>
      </c>
      <c r="V231" s="63" t="s">
        <v>272</v>
      </c>
      <c r="W231" s="64" t="s">
        <v>83</v>
      </c>
    </row>
    <row r="232" spans="1:28" ht="13.5">
      <c r="A232" s="2" t="s">
        <v>701</v>
      </c>
      <c r="B232" s="4" t="s">
        <v>29</v>
      </c>
      <c r="C232" s="6" t="s">
        <v>42</v>
      </c>
      <c r="D232" s="20" t="s">
        <v>700</v>
      </c>
      <c r="E232" s="10">
        <v>248</v>
      </c>
      <c r="F232" s="3">
        <v>2</v>
      </c>
      <c r="G232" s="4" t="s">
        <v>106</v>
      </c>
      <c r="H232" s="3">
        <v>5</v>
      </c>
      <c r="I232" s="2">
        <v>3</v>
      </c>
      <c r="J232" s="3" t="s">
        <v>34</v>
      </c>
      <c r="K232" s="5">
        <v>48</v>
      </c>
      <c r="L232" s="5">
        <v>48</v>
      </c>
      <c r="M232" s="5">
        <v>48</v>
      </c>
      <c r="N232" s="3">
        <f t="shared" si="6"/>
        <v>6</v>
      </c>
      <c r="O232" s="21" t="s">
        <v>35</v>
      </c>
      <c r="P232" s="1" t="s">
        <v>531</v>
      </c>
      <c r="Q232" s="2" t="s">
        <v>532</v>
      </c>
      <c r="X232" s="63" t="s">
        <v>268</v>
      </c>
      <c r="Y232" s="64" t="s">
        <v>149</v>
      </c>
      <c r="Z232" s="63" t="s">
        <v>82</v>
      </c>
      <c r="AA232" s="64" t="s">
        <v>73</v>
      </c>
    </row>
    <row r="233" spans="1:28" ht="13.5">
      <c r="A233" s="2" t="s">
        <v>702</v>
      </c>
      <c r="B233" s="4" t="s">
        <v>29</v>
      </c>
      <c r="C233" s="1" t="s">
        <v>42</v>
      </c>
      <c r="D233" s="7" t="s">
        <v>703</v>
      </c>
      <c r="E233" s="10">
        <v>250</v>
      </c>
      <c r="G233" s="4" t="s">
        <v>44</v>
      </c>
      <c r="H233" s="3">
        <v>6</v>
      </c>
      <c r="I233" s="2">
        <v>2.5</v>
      </c>
      <c r="J233" s="3" t="s">
        <v>86</v>
      </c>
      <c r="K233" s="5">
        <f>L233/2</f>
        <v>36</v>
      </c>
      <c r="L233" s="5">
        <v>72</v>
      </c>
      <c r="M233" s="5">
        <v>40</v>
      </c>
      <c r="N233" s="3">
        <f>(L233+M233)/16</f>
        <v>7</v>
      </c>
      <c r="O233" s="3" t="s">
        <v>35</v>
      </c>
      <c r="P233" s="1" t="s">
        <v>274</v>
      </c>
      <c r="Q233" s="1" t="s">
        <v>275</v>
      </c>
      <c r="X233" s="63" t="s">
        <v>398</v>
      </c>
      <c r="Y233" s="64" t="s">
        <v>122</v>
      </c>
    </row>
    <row r="234" spans="1:28" ht="22.5">
      <c r="A234" s="2" t="s">
        <v>704</v>
      </c>
      <c r="B234" s="4" t="s">
        <v>29</v>
      </c>
      <c r="C234" s="6" t="s">
        <v>42</v>
      </c>
      <c r="D234" s="7" t="s">
        <v>705</v>
      </c>
      <c r="E234" s="10">
        <v>251</v>
      </c>
      <c r="G234" s="4" t="s">
        <v>706</v>
      </c>
      <c r="H234" s="3">
        <v>1</v>
      </c>
      <c r="I234" s="2">
        <v>3</v>
      </c>
      <c r="J234" s="3" t="s">
        <v>93</v>
      </c>
      <c r="K234" s="5">
        <v>48</v>
      </c>
      <c r="L234" s="5">
        <v>48</v>
      </c>
      <c r="M234" s="5">
        <v>48</v>
      </c>
      <c r="N234" s="3">
        <f>(K234+M234)/16</f>
        <v>6</v>
      </c>
      <c r="O234" s="21" t="s">
        <v>35</v>
      </c>
      <c r="P234" s="1" t="s">
        <v>348</v>
      </c>
      <c r="Q234" s="1" t="s">
        <v>349</v>
      </c>
    </row>
    <row r="235" spans="1:28" ht="13.5">
      <c r="A235" s="2" t="s">
        <v>707</v>
      </c>
      <c r="B235" s="4" t="s">
        <v>29</v>
      </c>
      <c r="C235" s="6" t="s">
        <v>42</v>
      </c>
      <c r="D235" s="7" t="s">
        <v>708</v>
      </c>
      <c r="E235" s="10">
        <v>252</v>
      </c>
      <c r="F235" s="3">
        <v>1</v>
      </c>
      <c r="G235" s="4" t="s">
        <v>106</v>
      </c>
      <c r="H235" s="3">
        <v>7</v>
      </c>
      <c r="I235" s="2">
        <v>2</v>
      </c>
      <c r="J235" s="3" t="s">
        <v>34</v>
      </c>
      <c r="K235" s="5">
        <v>32</v>
      </c>
      <c r="L235" s="5">
        <v>32</v>
      </c>
      <c r="M235" s="5">
        <v>48</v>
      </c>
      <c r="N235" s="3">
        <f>(K235+M235)/16</f>
        <v>5</v>
      </c>
      <c r="O235" s="21" t="s">
        <v>35</v>
      </c>
      <c r="P235" s="1" t="s">
        <v>292</v>
      </c>
      <c r="Q235" s="1" t="s">
        <v>293</v>
      </c>
      <c r="V235" s="63" t="s">
        <v>164</v>
      </c>
      <c r="W235" s="64" t="s">
        <v>226</v>
      </c>
    </row>
    <row r="236" spans="1:28" ht="13.5">
      <c r="A236" s="2" t="s">
        <v>709</v>
      </c>
      <c r="B236" s="4" t="s">
        <v>29</v>
      </c>
      <c r="C236" s="6" t="s">
        <v>42</v>
      </c>
      <c r="D236" s="7" t="s">
        <v>708</v>
      </c>
      <c r="E236" s="10">
        <v>252</v>
      </c>
      <c r="F236" s="3">
        <v>2</v>
      </c>
      <c r="G236" s="4" t="s">
        <v>106</v>
      </c>
      <c r="H236" s="3">
        <v>7</v>
      </c>
      <c r="I236" s="2">
        <v>2</v>
      </c>
      <c r="J236" s="3" t="s">
        <v>34</v>
      </c>
      <c r="K236" s="5">
        <v>32</v>
      </c>
      <c r="L236" s="5">
        <v>32</v>
      </c>
      <c r="M236" s="5">
        <v>48</v>
      </c>
      <c r="N236" s="3">
        <f>(K236+M236)/16</f>
        <v>5</v>
      </c>
      <c r="O236" s="21" t="s">
        <v>35</v>
      </c>
      <c r="P236" s="1" t="s">
        <v>292</v>
      </c>
      <c r="Q236" s="1" t="s">
        <v>293</v>
      </c>
      <c r="R236" s="63" t="s">
        <v>559</v>
      </c>
      <c r="S236" s="64" t="s">
        <v>226</v>
      </c>
    </row>
    <row r="237" spans="1:28" ht="13.5">
      <c r="A237" s="2" t="s">
        <v>710</v>
      </c>
      <c r="B237" s="4" t="s">
        <v>29</v>
      </c>
      <c r="C237" s="1" t="s">
        <v>42</v>
      </c>
      <c r="D237" s="7" t="s">
        <v>711</v>
      </c>
      <c r="E237" s="10">
        <v>254</v>
      </c>
      <c r="G237" s="4" t="s">
        <v>133</v>
      </c>
      <c r="H237" s="3">
        <v>6</v>
      </c>
      <c r="I237" s="2">
        <v>2.5</v>
      </c>
      <c r="J237" s="3" t="s">
        <v>86</v>
      </c>
      <c r="K237" s="5">
        <f>L237/2</f>
        <v>36</v>
      </c>
      <c r="L237" s="5">
        <v>72</v>
      </c>
      <c r="M237" s="5">
        <v>56</v>
      </c>
      <c r="N237" s="3">
        <f>(L237+M237)/16</f>
        <v>8</v>
      </c>
      <c r="O237" s="3" t="s">
        <v>35</v>
      </c>
      <c r="P237" s="1" t="s">
        <v>566</v>
      </c>
      <c r="Q237" s="2" t="s">
        <v>567</v>
      </c>
      <c r="X237" s="63" t="s">
        <v>529</v>
      </c>
      <c r="Y237" s="64" t="s">
        <v>408</v>
      </c>
    </row>
    <row r="238" spans="1:28">
      <c r="A238" s="2" t="s">
        <v>712</v>
      </c>
      <c r="B238" s="4" t="s">
        <v>29</v>
      </c>
      <c r="C238" s="1" t="s">
        <v>42</v>
      </c>
      <c r="D238" s="7" t="s">
        <v>713</v>
      </c>
      <c r="E238" s="10">
        <v>255</v>
      </c>
      <c r="G238" s="4" t="s">
        <v>106</v>
      </c>
      <c r="H238" s="3">
        <v>7</v>
      </c>
      <c r="I238" s="2">
        <v>1.5</v>
      </c>
      <c r="J238" s="3" t="s">
        <v>34</v>
      </c>
      <c r="K238" s="5">
        <v>24</v>
      </c>
      <c r="L238" s="5">
        <v>24</v>
      </c>
      <c r="N238" s="35">
        <v>12</v>
      </c>
      <c r="O238" s="3" t="s">
        <v>35</v>
      </c>
      <c r="P238" s="7" t="s">
        <v>283</v>
      </c>
      <c r="Q238" s="7" t="s">
        <v>284</v>
      </c>
      <c r="V238" s="2" t="s">
        <v>311</v>
      </c>
      <c r="W238" s="2" t="s">
        <v>685</v>
      </c>
    </row>
    <row r="239" spans="1:28">
      <c r="A239" s="2" t="s">
        <v>714</v>
      </c>
      <c r="B239" s="4" t="s">
        <v>29</v>
      </c>
      <c r="C239" s="1" t="s">
        <v>42</v>
      </c>
      <c r="D239" s="7" t="s">
        <v>713</v>
      </c>
      <c r="E239" s="10">
        <v>256</v>
      </c>
      <c r="G239" s="4" t="s">
        <v>59</v>
      </c>
      <c r="H239" s="3">
        <v>7</v>
      </c>
      <c r="I239" s="2">
        <v>1.5</v>
      </c>
      <c r="J239" s="3" t="s">
        <v>34</v>
      </c>
      <c r="K239" s="5">
        <v>24</v>
      </c>
      <c r="L239" s="5">
        <v>24</v>
      </c>
      <c r="N239" s="35">
        <v>12</v>
      </c>
      <c r="O239" s="3" t="s">
        <v>35</v>
      </c>
      <c r="P239" s="2" t="s">
        <v>550</v>
      </c>
      <c r="Q239" s="1" t="s">
        <v>551</v>
      </c>
      <c r="V239" s="2" t="s">
        <v>311</v>
      </c>
      <c r="W239" s="2" t="s">
        <v>685</v>
      </c>
    </row>
    <row r="240" spans="1:28" ht="12.75">
      <c r="A240" s="2" t="s">
        <v>715</v>
      </c>
      <c r="B240" s="4" t="s">
        <v>29</v>
      </c>
      <c r="C240" s="1" t="s">
        <v>42</v>
      </c>
      <c r="D240" s="7" t="s">
        <v>713</v>
      </c>
      <c r="E240" s="10">
        <v>257</v>
      </c>
      <c r="F240" s="4"/>
      <c r="G240" s="4" t="s">
        <v>137</v>
      </c>
      <c r="H240" s="4">
        <v>7</v>
      </c>
      <c r="I240" s="2">
        <v>1.5</v>
      </c>
      <c r="J240" s="3" t="s">
        <v>34</v>
      </c>
      <c r="K240" s="5">
        <v>24</v>
      </c>
      <c r="L240" s="5">
        <v>24</v>
      </c>
      <c r="N240" s="35">
        <v>12</v>
      </c>
      <c r="O240" s="3" t="s">
        <v>35</v>
      </c>
      <c r="P240" s="7" t="s">
        <v>187</v>
      </c>
      <c r="Q240" s="7" t="s">
        <v>188</v>
      </c>
      <c r="T240" s="63" t="s">
        <v>177</v>
      </c>
    </row>
    <row r="241" spans="1:28">
      <c r="A241" s="2" t="s">
        <v>716</v>
      </c>
      <c r="B241" s="4" t="s">
        <v>29</v>
      </c>
      <c r="C241" s="1" t="s">
        <v>42</v>
      </c>
      <c r="D241" s="7" t="s">
        <v>713</v>
      </c>
      <c r="E241" s="10">
        <v>258</v>
      </c>
      <c r="F241" s="4"/>
      <c r="G241" s="4" t="s">
        <v>133</v>
      </c>
      <c r="H241" s="4">
        <v>8</v>
      </c>
      <c r="I241" s="2">
        <v>1.5</v>
      </c>
      <c r="J241" s="3" t="s">
        <v>34</v>
      </c>
      <c r="K241" s="5">
        <v>24</v>
      </c>
      <c r="L241" s="5">
        <v>24</v>
      </c>
      <c r="N241" s="35">
        <v>12</v>
      </c>
      <c r="O241" s="3" t="s">
        <v>35</v>
      </c>
      <c r="P241" s="7" t="s">
        <v>262</v>
      </c>
      <c r="Q241" s="7" t="s">
        <v>263</v>
      </c>
      <c r="V241" s="2" t="s">
        <v>311</v>
      </c>
      <c r="W241" s="2" t="s">
        <v>685</v>
      </c>
    </row>
    <row r="242" spans="1:28">
      <c r="A242" s="2" t="s">
        <v>717</v>
      </c>
      <c r="B242" s="4" t="s">
        <v>29</v>
      </c>
      <c r="C242" s="1" t="s">
        <v>42</v>
      </c>
      <c r="D242" s="7" t="s">
        <v>713</v>
      </c>
      <c r="E242" s="10">
        <v>259</v>
      </c>
      <c r="G242" s="4" t="s">
        <v>44</v>
      </c>
      <c r="H242" s="3">
        <v>7</v>
      </c>
      <c r="I242" s="2">
        <v>1.5</v>
      </c>
      <c r="J242" s="3" t="s">
        <v>34</v>
      </c>
      <c r="K242" s="5">
        <v>24</v>
      </c>
      <c r="L242" s="5">
        <v>24</v>
      </c>
      <c r="N242" s="35">
        <v>12</v>
      </c>
      <c r="O242" s="3" t="s">
        <v>35</v>
      </c>
      <c r="P242" s="7" t="s">
        <v>474</v>
      </c>
      <c r="Q242" s="7" t="s">
        <v>475</v>
      </c>
      <c r="V242" s="2" t="s">
        <v>311</v>
      </c>
      <c r="W242" s="2" t="s">
        <v>685</v>
      </c>
    </row>
    <row r="243" spans="1:28">
      <c r="A243" s="2" t="s">
        <v>718</v>
      </c>
      <c r="B243" s="4" t="s">
        <v>29</v>
      </c>
      <c r="C243" s="6" t="s">
        <v>42</v>
      </c>
      <c r="D243" s="7" t="s">
        <v>713</v>
      </c>
      <c r="E243" s="10">
        <v>260</v>
      </c>
      <c r="F243" s="4"/>
      <c r="G243" s="4" t="s">
        <v>77</v>
      </c>
      <c r="H243" s="4">
        <v>7</v>
      </c>
      <c r="I243" s="2">
        <v>1.5</v>
      </c>
      <c r="J243" s="3" t="s">
        <v>78</v>
      </c>
      <c r="K243" s="5">
        <v>24</v>
      </c>
      <c r="L243" s="5">
        <v>24</v>
      </c>
      <c r="N243" s="3">
        <v>12</v>
      </c>
      <c r="O243" s="3" t="s">
        <v>648</v>
      </c>
      <c r="P243" s="25" t="s">
        <v>192</v>
      </c>
      <c r="Q243" s="25" t="s">
        <v>193</v>
      </c>
      <c r="V243" s="2" t="s">
        <v>311</v>
      </c>
      <c r="W243" s="2" t="s">
        <v>685</v>
      </c>
    </row>
    <row r="244" spans="1:28" ht="27">
      <c r="A244" s="2" t="s">
        <v>719</v>
      </c>
      <c r="B244" s="4" t="s">
        <v>29</v>
      </c>
      <c r="C244" s="1" t="s">
        <v>42</v>
      </c>
      <c r="D244" s="7" t="s">
        <v>720</v>
      </c>
      <c r="E244" s="10">
        <v>261</v>
      </c>
      <c r="G244" s="4" t="s">
        <v>133</v>
      </c>
      <c r="H244" s="3">
        <v>8</v>
      </c>
      <c r="I244" s="2">
        <v>2.5</v>
      </c>
      <c r="J244" s="3" t="s">
        <v>86</v>
      </c>
      <c r="K244" s="5">
        <f>L244/2</f>
        <v>36</v>
      </c>
      <c r="L244" s="5">
        <v>72</v>
      </c>
      <c r="M244" s="5">
        <v>56</v>
      </c>
      <c r="N244" s="3">
        <f>(L244+M244)/16</f>
        <v>8</v>
      </c>
      <c r="O244" s="3" t="s">
        <v>35</v>
      </c>
      <c r="P244" s="1" t="s">
        <v>213</v>
      </c>
      <c r="Q244" s="1" t="s">
        <v>721</v>
      </c>
      <c r="R244" s="63" t="s">
        <v>529</v>
      </c>
      <c r="S244" s="64" t="s">
        <v>342</v>
      </c>
    </row>
    <row r="245" spans="1:28" ht="27">
      <c r="A245" s="2" t="s">
        <v>722</v>
      </c>
      <c r="B245" s="4" t="s">
        <v>29</v>
      </c>
      <c r="C245" s="6" t="s">
        <v>42</v>
      </c>
      <c r="D245" s="20" t="s">
        <v>723</v>
      </c>
      <c r="E245" s="10">
        <v>262</v>
      </c>
      <c r="G245" s="4" t="s">
        <v>133</v>
      </c>
      <c r="H245" s="3">
        <v>9</v>
      </c>
      <c r="I245" s="18">
        <v>4.5</v>
      </c>
      <c r="J245" s="3" t="s">
        <v>34</v>
      </c>
      <c r="K245" s="5">
        <v>72</v>
      </c>
      <c r="L245" s="5">
        <v>72</v>
      </c>
      <c r="M245" s="5">
        <v>56</v>
      </c>
      <c r="N245" s="3">
        <f>(K245+M245)/16</f>
        <v>8</v>
      </c>
      <c r="O245" s="21" t="s">
        <v>35</v>
      </c>
      <c r="P245" s="7" t="s">
        <v>484</v>
      </c>
      <c r="Q245" s="1" t="s">
        <v>724</v>
      </c>
      <c r="R245" s="63" t="s">
        <v>358</v>
      </c>
      <c r="S245" s="64" t="s">
        <v>341</v>
      </c>
      <c r="V245" s="63" t="s">
        <v>249</v>
      </c>
      <c r="W245" s="64" t="s">
        <v>341</v>
      </c>
      <c r="Z245" s="63" t="s">
        <v>237</v>
      </c>
      <c r="AA245" s="64" t="s">
        <v>342</v>
      </c>
      <c r="AB245" s="71"/>
    </row>
    <row r="246" spans="1:28" ht="27">
      <c r="A246" s="2" t="s">
        <v>725</v>
      </c>
      <c r="B246" s="4" t="s">
        <v>29</v>
      </c>
      <c r="C246" s="6" t="s">
        <v>42</v>
      </c>
      <c r="D246" s="20" t="s">
        <v>726</v>
      </c>
      <c r="E246" s="10">
        <v>263</v>
      </c>
      <c r="G246" s="4" t="s">
        <v>133</v>
      </c>
      <c r="H246" s="3">
        <v>5</v>
      </c>
      <c r="I246" s="2">
        <v>4.5</v>
      </c>
      <c r="J246" s="3" t="s">
        <v>34</v>
      </c>
      <c r="K246" s="5">
        <v>72</v>
      </c>
      <c r="L246" s="5">
        <v>72</v>
      </c>
      <c r="M246" s="5">
        <v>56</v>
      </c>
      <c r="N246" s="3">
        <f>(K246+M246)/16</f>
        <v>8</v>
      </c>
      <c r="O246" s="21" t="s">
        <v>35</v>
      </c>
      <c r="P246" s="1" t="s">
        <v>437</v>
      </c>
      <c r="Q246" s="12" t="s">
        <v>438</v>
      </c>
      <c r="T246" s="63" t="s">
        <v>152</v>
      </c>
      <c r="U246" s="64" t="s">
        <v>342</v>
      </c>
      <c r="X246" s="63" t="s">
        <v>74</v>
      </c>
      <c r="Y246" s="64" t="s">
        <v>342</v>
      </c>
      <c r="Z246" s="63" t="s">
        <v>358</v>
      </c>
      <c r="AA246" s="64" t="s">
        <v>342</v>
      </c>
      <c r="AB246" s="71"/>
    </row>
    <row r="247" spans="1:28" ht="13.5">
      <c r="A247" s="2" t="s">
        <v>727</v>
      </c>
      <c r="B247" s="4" t="s">
        <v>29</v>
      </c>
      <c r="C247" s="1" t="s">
        <v>42</v>
      </c>
      <c r="D247" s="7" t="s">
        <v>728</v>
      </c>
      <c r="E247" s="10">
        <v>264</v>
      </c>
      <c r="G247" s="4" t="s">
        <v>133</v>
      </c>
      <c r="H247" s="3">
        <v>6</v>
      </c>
      <c r="I247" s="2">
        <v>2.5</v>
      </c>
      <c r="J247" s="3" t="s">
        <v>86</v>
      </c>
      <c r="K247" s="5">
        <f>L247/2</f>
        <v>36</v>
      </c>
      <c r="L247" s="5">
        <v>72</v>
      </c>
      <c r="M247" s="5">
        <v>56</v>
      </c>
      <c r="N247" s="3">
        <f>(L247+M247)/16</f>
        <v>8</v>
      </c>
      <c r="O247" s="3" t="s">
        <v>35</v>
      </c>
      <c r="P247" s="1" t="s">
        <v>262</v>
      </c>
      <c r="Q247" s="2" t="s">
        <v>263</v>
      </c>
      <c r="Z247" s="63" t="s">
        <v>243</v>
      </c>
      <c r="AA247" s="64" t="s">
        <v>153</v>
      </c>
    </row>
    <row r="248" spans="1:28" ht="27">
      <c r="A248" s="2" t="s">
        <v>729</v>
      </c>
      <c r="B248" s="4" t="s">
        <v>29</v>
      </c>
      <c r="C248" s="6" t="s">
        <v>42</v>
      </c>
      <c r="D248" s="20" t="s">
        <v>730</v>
      </c>
      <c r="E248" s="10">
        <v>265</v>
      </c>
      <c r="G248" s="4" t="s">
        <v>133</v>
      </c>
      <c r="H248" s="3">
        <v>7</v>
      </c>
      <c r="I248" s="18">
        <v>4.5</v>
      </c>
      <c r="J248" s="3" t="s">
        <v>34</v>
      </c>
      <c r="K248" s="5">
        <v>72</v>
      </c>
      <c r="L248" s="5">
        <v>72</v>
      </c>
      <c r="M248" s="5">
        <v>56</v>
      </c>
      <c r="N248" s="3">
        <f>(K248+M248)/16</f>
        <v>8</v>
      </c>
      <c r="O248" s="21" t="s">
        <v>35</v>
      </c>
      <c r="P248" s="7" t="s">
        <v>247</v>
      </c>
      <c r="Q248" s="6" t="s">
        <v>248</v>
      </c>
      <c r="R248" s="63" t="s">
        <v>354</v>
      </c>
      <c r="S248" s="64" t="s">
        <v>342</v>
      </c>
      <c r="X248" s="63" t="s">
        <v>82</v>
      </c>
      <c r="Y248" s="64" t="s">
        <v>341</v>
      </c>
      <c r="Z248" s="63" t="s">
        <v>124</v>
      </c>
      <c r="AA248" s="64" t="s">
        <v>342</v>
      </c>
      <c r="AB248" s="71"/>
    </row>
    <row r="249" spans="1:28" ht="13.5">
      <c r="A249" s="2" t="s">
        <v>731</v>
      </c>
      <c r="B249" s="4" t="s">
        <v>29</v>
      </c>
      <c r="C249" s="1" t="s">
        <v>42</v>
      </c>
      <c r="D249" s="7" t="s">
        <v>732</v>
      </c>
      <c r="E249" s="10">
        <v>266</v>
      </c>
      <c r="G249" s="4" t="s">
        <v>44</v>
      </c>
      <c r="H249" s="3">
        <v>4</v>
      </c>
      <c r="I249" s="2">
        <v>2.5</v>
      </c>
      <c r="J249" s="3" t="s">
        <v>86</v>
      </c>
      <c r="K249" s="5">
        <f>L249/2</f>
        <v>36</v>
      </c>
      <c r="L249" s="5">
        <v>72</v>
      </c>
      <c r="M249" s="5">
        <v>40</v>
      </c>
      <c r="N249" s="3">
        <f>(L249+M249)/16</f>
        <v>7</v>
      </c>
      <c r="O249" s="3" t="s">
        <v>35</v>
      </c>
      <c r="P249" s="7" t="s">
        <v>579</v>
      </c>
      <c r="Q249" s="1" t="s">
        <v>580</v>
      </c>
      <c r="Z249" s="63" t="s">
        <v>407</v>
      </c>
      <c r="AA249" s="64" t="s">
        <v>204</v>
      </c>
    </row>
    <row r="250" spans="1:28" ht="12.75">
      <c r="A250" s="2" t="s">
        <v>733</v>
      </c>
      <c r="B250" s="4" t="s">
        <v>29</v>
      </c>
      <c r="C250" s="6" t="s">
        <v>42</v>
      </c>
      <c r="D250" s="7" t="s">
        <v>734</v>
      </c>
      <c r="E250" s="10">
        <v>267</v>
      </c>
      <c r="G250" s="4" t="s">
        <v>106</v>
      </c>
      <c r="H250" s="3">
        <v>9</v>
      </c>
      <c r="I250" s="2">
        <v>3</v>
      </c>
      <c r="J250" s="3" t="s">
        <v>34</v>
      </c>
      <c r="K250" s="5">
        <v>48</v>
      </c>
      <c r="L250" s="5">
        <v>48</v>
      </c>
      <c r="M250" s="5">
        <v>48</v>
      </c>
      <c r="N250" s="3">
        <f>(K250+M250)/16</f>
        <v>6</v>
      </c>
      <c r="O250" s="3" t="s">
        <v>35</v>
      </c>
      <c r="P250" s="6" t="s">
        <v>288</v>
      </c>
      <c r="Q250" s="1" t="s">
        <v>289</v>
      </c>
      <c r="R250" s="63"/>
      <c r="V250" s="63"/>
      <c r="X250" s="2" t="s">
        <v>249</v>
      </c>
      <c r="Y250" s="2" t="s">
        <v>735</v>
      </c>
      <c r="Z250" s="2" t="s">
        <v>249</v>
      </c>
      <c r="AA250" s="2" t="s">
        <v>735</v>
      </c>
      <c r="AB250" s="71"/>
    </row>
    <row r="251" spans="1:28" ht="22.5">
      <c r="A251" s="2" t="s">
        <v>736</v>
      </c>
      <c r="B251" s="4" t="s">
        <v>29</v>
      </c>
      <c r="C251" s="6" t="s">
        <v>42</v>
      </c>
      <c r="D251" s="7" t="s">
        <v>737</v>
      </c>
      <c r="E251" s="10">
        <v>268</v>
      </c>
      <c r="G251" s="4" t="s">
        <v>738</v>
      </c>
      <c r="H251" s="3" t="s">
        <v>739</v>
      </c>
      <c r="I251" s="2">
        <v>3</v>
      </c>
      <c r="J251" s="3" t="s">
        <v>34</v>
      </c>
      <c r="K251" s="5">
        <v>48</v>
      </c>
      <c r="L251" s="5">
        <v>48</v>
      </c>
      <c r="M251" s="5">
        <v>48</v>
      </c>
      <c r="N251" s="3">
        <f>(K251+M251)/16</f>
        <v>6</v>
      </c>
      <c r="O251" s="3" t="s">
        <v>35</v>
      </c>
      <c r="P251" s="1" t="s">
        <v>348</v>
      </c>
      <c r="Q251" s="1" t="s">
        <v>349</v>
      </c>
    </row>
    <row r="252" spans="1:28" ht="22.5">
      <c r="A252" s="2" t="s">
        <v>740</v>
      </c>
      <c r="B252" s="4" t="s">
        <v>29</v>
      </c>
      <c r="C252" s="6" t="s">
        <v>42</v>
      </c>
      <c r="D252" s="7" t="s">
        <v>737</v>
      </c>
      <c r="E252" s="10">
        <v>269</v>
      </c>
      <c r="G252" s="4" t="s">
        <v>738</v>
      </c>
      <c r="H252" s="3" t="s">
        <v>739</v>
      </c>
      <c r="I252" s="2">
        <v>3</v>
      </c>
      <c r="J252" s="3" t="s">
        <v>34</v>
      </c>
      <c r="K252" s="5">
        <v>48</v>
      </c>
      <c r="L252" s="5">
        <v>48</v>
      </c>
      <c r="M252" s="5">
        <v>48</v>
      </c>
      <c r="N252" s="3">
        <f>(K252+M252)/16</f>
        <v>6</v>
      </c>
      <c r="O252" s="3" t="s">
        <v>35</v>
      </c>
      <c r="P252" s="1" t="s">
        <v>348</v>
      </c>
      <c r="Q252" s="1" t="s">
        <v>349</v>
      </c>
    </row>
    <row r="253" spans="1:28" ht="13.5">
      <c r="A253" s="2" t="s">
        <v>741</v>
      </c>
      <c r="B253" s="4" t="s">
        <v>29</v>
      </c>
      <c r="C253" s="1" t="s">
        <v>42</v>
      </c>
      <c r="D253" s="7" t="s">
        <v>742</v>
      </c>
      <c r="E253" s="10">
        <v>270</v>
      </c>
      <c r="G253" s="4" t="s">
        <v>106</v>
      </c>
      <c r="H253" s="3">
        <v>8</v>
      </c>
      <c r="I253" s="2">
        <v>1.5</v>
      </c>
      <c r="J253" s="3" t="s">
        <v>86</v>
      </c>
      <c r="K253" s="5">
        <v>24</v>
      </c>
      <c r="L253" s="5">
        <v>48</v>
      </c>
      <c r="M253" s="5">
        <v>16</v>
      </c>
      <c r="N253" s="3">
        <f>(L253+M253)/16</f>
        <v>4</v>
      </c>
      <c r="O253" s="3" t="s">
        <v>35</v>
      </c>
      <c r="P253" s="6" t="s">
        <v>667</v>
      </c>
      <c r="Q253" s="6" t="s">
        <v>668</v>
      </c>
      <c r="T253" s="63" t="s">
        <v>177</v>
      </c>
      <c r="U253" s="64" t="s">
        <v>429</v>
      </c>
    </row>
    <row r="254" spans="1:28" ht="13.5">
      <c r="A254" s="2" t="s">
        <v>743</v>
      </c>
      <c r="B254" s="4" t="s">
        <v>29</v>
      </c>
      <c r="C254" s="6" t="s">
        <v>42</v>
      </c>
      <c r="D254" s="7" t="s">
        <v>744</v>
      </c>
      <c r="E254" s="10">
        <v>271</v>
      </c>
      <c r="F254" s="3">
        <v>1</v>
      </c>
      <c r="G254" s="4" t="s">
        <v>745</v>
      </c>
      <c r="H254" s="24">
        <v>3</v>
      </c>
      <c r="I254" s="2">
        <v>4.5</v>
      </c>
      <c r="J254" s="3" t="s">
        <v>34</v>
      </c>
      <c r="K254" s="5">
        <v>72</v>
      </c>
      <c r="L254" s="5">
        <v>72</v>
      </c>
      <c r="M254" s="5">
        <v>56</v>
      </c>
      <c r="N254" s="3">
        <f>(K254+M254)/16</f>
        <v>8</v>
      </c>
      <c r="O254" s="21" t="s">
        <v>35</v>
      </c>
      <c r="P254" s="6" t="s">
        <v>219</v>
      </c>
      <c r="Q254" s="1" t="s">
        <v>220</v>
      </c>
      <c r="R254" s="63" t="s">
        <v>109</v>
      </c>
      <c r="S254" s="64" t="s">
        <v>83</v>
      </c>
      <c r="T254" s="63" t="s">
        <v>124</v>
      </c>
      <c r="U254" s="64" t="s">
        <v>162</v>
      </c>
      <c r="X254" s="63" t="s">
        <v>109</v>
      </c>
      <c r="Y254" s="64" t="s">
        <v>118</v>
      </c>
    </row>
    <row r="255" spans="1:28" ht="13.5">
      <c r="A255" s="2" t="s">
        <v>746</v>
      </c>
      <c r="B255" s="4" t="s">
        <v>29</v>
      </c>
      <c r="C255" s="6" t="s">
        <v>42</v>
      </c>
      <c r="D255" s="7" t="s">
        <v>744</v>
      </c>
      <c r="E255" s="10">
        <v>271</v>
      </c>
      <c r="F255" s="3">
        <v>2</v>
      </c>
      <c r="G255" s="4" t="s">
        <v>745</v>
      </c>
      <c r="H255" s="24">
        <v>3</v>
      </c>
      <c r="I255" s="2">
        <v>4.5</v>
      </c>
      <c r="J255" s="3" t="s">
        <v>34</v>
      </c>
      <c r="K255" s="5">
        <v>72</v>
      </c>
      <c r="L255" s="5">
        <v>72</v>
      </c>
      <c r="M255" s="5">
        <v>56</v>
      </c>
      <c r="N255" s="3">
        <f>(K255+M255)/16</f>
        <v>8</v>
      </c>
      <c r="O255" s="21" t="s">
        <v>35</v>
      </c>
      <c r="P255" s="1" t="s">
        <v>305</v>
      </c>
      <c r="Q255" s="1" t="s">
        <v>610</v>
      </c>
      <c r="R255" s="63" t="s">
        <v>109</v>
      </c>
      <c r="S255" s="64" t="s">
        <v>122</v>
      </c>
      <c r="T255" s="63" t="s">
        <v>124</v>
      </c>
      <c r="U255" s="64" t="s">
        <v>56</v>
      </c>
      <c r="X255" s="63" t="s">
        <v>109</v>
      </c>
      <c r="Y255" s="64" t="s">
        <v>73</v>
      </c>
    </row>
    <row r="256" spans="1:28" ht="13.5">
      <c r="A256" s="2" t="s">
        <v>747</v>
      </c>
      <c r="B256" s="4" t="s">
        <v>29</v>
      </c>
      <c r="C256" s="6" t="s">
        <v>42</v>
      </c>
      <c r="D256" s="7" t="s">
        <v>744</v>
      </c>
      <c r="E256" s="10">
        <v>271</v>
      </c>
      <c r="F256" s="3">
        <v>3</v>
      </c>
      <c r="G256" s="4" t="s">
        <v>745</v>
      </c>
      <c r="H256" s="24">
        <v>3</v>
      </c>
      <c r="I256" s="2">
        <v>4.5</v>
      </c>
      <c r="J256" s="3" t="s">
        <v>34</v>
      </c>
      <c r="K256" s="5">
        <v>72</v>
      </c>
      <c r="L256" s="5">
        <v>72</v>
      </c>
      <c r="M256" s="5">
        <v>56</v>
      </c>
      <c r="N256" s="3">
        <f>(K256+M256)/16</f>
        <v>8</v>
      </c>
      <c r="O256" s="21" t="s">
        <v>35</v>
      </c>
      <c r="P256" s="1" t="s">
        <v>223</v>
      </c>
      <c r="Q256" s="1" t="s">
        <v>466</v>
      </c>
      <c r="R256" s="63" t="s">
        <v>109</v>
      </c>
      <c r="S256" s="64" t="s">
        <v>118</v>
      </c>
      <c r="T256" s="63" t="s">
        <v>124</v>
      </c>
      <c r="U256" s="64" t="s">
        <v>149</v>
      </c>
      <c r="X256" s="63" t="s">
        <v>109</v>
      </c>
      <c r="Y256" s="64" t="s">
        <v>111</v>
      </c>
    </row>
    <row r="257" spans="1:27" ht="13.5">
      <c r="A257" s="2" t="s">
        <v>748</v>
      </c>
      <c r="B257" s="4" t="s">
        <v>29</v>
      </c>
      <c r="C257" s="6" t="s">
        <v>42</v>
      </c>
      <c r="D257" s="7" t="s">
        <v>744</v>
      </c>
      <c r="E257" s="10">
        <v>271</v>
      </c>
      <c r="F257" s="3">
        <v>4</v>
      </c>
      <c r="G257" s="4" t="s">
        <v>745</v>
      </c>
      <c r="H257" s="24">
        <v>3</v>
      </c>
      <c r="I257" s="2">
        <v>4.5</v>
      </c>
      <c r="J257" s="3" t="s">
        <v>34</v>
      </c>
      <c r="K257" s="5">
        <v>72</v>
      </c>
      <c r="L257" s="5">
        <v>72</v>
      </c>
      <c r="M257" s="5">
        <v>56</v>
      </c>
      <c r="N257" s="3">
        <f>(K257+M257)/16</f>
        <v>8</v>
      </c>
      <c r="O257" s="21" t="s">
        <v>35</v>
      </c>
      <c r="P257" s="1" t="s">
        <v>468</v>
      </c>
      <c r="Q257" s="1" t="s">
        <v>469</v>
      </c>
      <c r="R257" s="63" t="s">
        <v>109</v>
      </c>
      <c r="S257" s="64" t="s">
        <v>73</v>
      </c>
      <c r="T257" s="63" t="s">
        <v>124</v>
      </c>
      <c r="U257" s="64" t="s">
        <v>73</v>
      </c>
      <c r="X257" s="63" t="s">
        <v>109</v>
      </c>
      <c r="Y257" s="64" t="s">
        <v>162</v>
      </c>
    </row>
    <row r="258" spans="1:27" ht="13.5">
      <c r="A258" s="2" t="s">
        <v>749</v>
      </c>
      <c r="B258" s="4" t="s">
        <v>29</v>
      </c>
      <c r="C258" s="6" t="s">
        <v>42</v>
      </c>
      <c r="D258" s="20" t="s">
        <v>744</v>
      </c>
      <c r="E258" s="10">
        <v>271</v>
      </c>
      <c r="F258" s="3">
        <v>5</v>
      </c>
      <c r="G258" s="4" t="s">
        <v>745</v>
      </c>
      <c r="H258" s="24">
        <v>3</v>
      </c>
      <c r="I258" s="2">
        <v>4.5</v>
      </c>
      <c r="J258" s="3" t="s">
        <v>34</v>
      </c>
      <c r="K258" s="5">
        <v>72</v>
      </c>
      <c r="L258" s="5">
        <v>72</v>
      </c>
      <c r="M258" s="5">
        <v>56</v>
      </c>
      <c r="N258" s="3">
        <f>(K258+M258)/16</f>
        <v>8</v>
      </c>
      <c r="O258" s="21" t="s">
        <v>35</v>
      </c>
      <c r="P258" s="1" t="s">
        <v>579</v>
      </c>
      <c r="Q258" s="1" t="s">
        <v>580</v>
      </c>
      <c r="R258" s="63" t="s">
        <v>109</v>
      </c>
      <c r="S258" s="64" t="s">
        <v>56</v>
      </c>
      <c r="T258" s="63" t="s">
        <v>124</v>
      </c>
      <c r="U258" s="64" t="s">
        <v>110</v>
      </c>
      <c r="X258" s="63" t="s">
        <v>109</v>
      </c>
      <c r="Y258" s="64" t="s">
        <v>122</v>
      </c>
    </row>
    <row r="259" spans="1:27" ht="13.5">
      <c r="A259" s="2" t="s">
        <v>750</v>
      </c>
      <c r="B259" s="4" t="s">
        <v>29</v>
      </c>
      <c r="C259" s="6" t="s">
        <v>42</v>
      </c>
      <c r="D259" s="7" t="s">
        <v>751</v>
      </c>
      <c r="E259" s="10">
        <v>276</v>
      </c>
      <c r="G259" s="4" t="s">
        <v>77</v>
      </c>
      <c r="H259" s="3">
        <v>7</v>
      </c>
      <c r="I259" s="2">
        <v>4.5</v>
      </c>
      <c r="J259" s="3" t="s">
        <v>78</v>
      </c>
      <c r="K259" s="5">
        <v>67.5</v>
      </c>
      <c r="L259" s="5">
        <v>67.5</v>
      </c>
      <c r="N259" s="3">
        <v>9</v>
      </c>
      <c r="O259" s="21" t="s">
        <v>79</v>
      </c>
      <c r="P259" s="1" t="s">
        <v>320</v>
      </c>
      <c r="Q259" s="1" t="s">
        <v>321</v>
      </c>
      <c r="R259" s="63" t="s">
        <v>276</v>
      </c>
      <c r="S259" s="64" t="s">
        <v>172</v>
      </c>
      <c r="V259" s="63" t="s">
        <v>152</v>
      </c>
      <c r="W259" s="64" t="s">
        <v>172</v>
      </c>
      <c r="Z259" s="63" t="s">
        <v>72</v>
      </c>
      <c r="AA259" s="64" t="s">
        <v>111</v>
      </c>
    </row>
    <row r="260" spans="1:27" ht="13.5">
      <c r="A260" s="2" t="s">
        <v>752</v>
      </c>
      <c r="B260" s="4" t="s">
        <v>29</v>
      </c>
      <c r="C260" s="6" t="s">
        <v>42</v>
      </c>
      <c r="D260" s="7" t="s">
        <v>753</v>
      </c>
      <c r="E260" s="10">
        <v>277</v>
      </c>
      <c r="G260" s="4" t="s">
        <v>59</v>
      </c>
      <c r="H260" s="3">
        <v>5</v>
      </c>
      <c r="I260" s="2">
        <v>4</v>
      </c>
      <c r="J260" s="3" t="s">
        <v>34</v>
      </c>
      <c r="K260" s="5">
        <v>64</v>
      </c>
      <c r="L260" s="5">
        <v>64</v>
      </c>
      <c r="M260" s="5">
        <v>32</v>
      </c>
      <c r="N260" s="3">
        <f>(K260+M260)/16</f>
        <v>6</v>
      </c>
      <c r="O260" s="3" t="s">
        <v>35</v>
      </c>
      <c r="P260" s="1" t="s">
        <v>468</v>
      </c>
      <c r="Q260" s="1" t="s">
        <v>469</v>
      </c>
      <c r="R260" s="63" t="s">
        <v>411</v>
      </c>
      <c r="S260" s="64" t="s">
        <v>216</v>
      </c>
      <c r="Z260" s="63" t="s">
        <v>559</v>
      </c>
      <c r="AA260" s="64" t="s">
        <v>226</v>
      </c>
    </row>
    <row r="261" spans="1:27" ht="13.5">
      <c r="A261" s="2" t="s">
        <v>754</v>
      </c>
      <c r="B261" s="4" t="s">
        <v>29</v>
      </c>
      <c r="C261" s="1" t="s">
        <v>42</v>
      </c>
      <c r="D261" s="7" t="s">
        <v>753</v>
      </c>
      <c r="E261" s="10">
        <v>278</v>
      </c>
      <c r="G261" s="4" t="s">
        <v>44</v>
      </c>
      <c r="H261" s="3">
        <v>4</v>
      </c>
      <c r="I261" s="7">
        <v>2</v>
      </c>
      <c r="J261" s="3" t="s">
        <v>86</v>
      </c>
      <c r="K261" s="5">
        <f>L261/2</f>
        <v>32</v>
      </c>
      <c r="L261" s="5">
        <v>64</v>
      </c>
      <c r="M261" s="5">
        <v>32</v>
      </c>
      <c r="N261" s="3">
        <f>(L261+M261)/16</f>
        <v>6</v>
      </c>
      <c r="O261" s="3" t="s">
        <v>35</v>
      </c>
      <c r="P261" s="7" t="s">
        <v>69</v>
      </c>
      <c r="Q261" s="1" t="s">
        <v>403</v>
      </c>
      <c r="R261" s="63" t="s">
        <v>290</v>
      </c>
      <c r="S261" s="64" t="s">
        <v>204</v>
      </c>
    </row>
    <row r="262" spans="1:27" ht="13.5">
      <c r="A262" s="2" t="s">
        <v>755</v>
      </c>
      <c r="B262" s="4" t="s">
        <v>29</v>
      </c>
      <c r="C262" s="1" t="s">
        <v>42</v>
      </c>
      <c r="D262" s="7" t="s">
        <v>756</v>
      </c>
      <c r="E262" s="10">
        <v>279</v>
      </c>
      <c r="G262" s="4" t="s">
        <v>137</v>
      </c>
      <c r="H262" s="3">
        <v>6</v>
      </c>
      <c r="I262" s="7">
        <v>2</v>
      </c>
      <c r="J262" s="3" t="s">
        <v>86</v>
      </c>
      <c r="K262" s="5">
        <f>L262/2</f>
        <v>32</v>
      </c>
      <c r="L262" s="5">
        <v>64</v>
      </c>
      <c r="M262" s="5">
        <v>64</v>
      </c>
      <c r="N262" s="3">
        <f>(L262+M262)/16</f>
        <v>8</v>
      </c>
      <c r="O262" s="3" t="s">
        <v>35</v>
      </c>
      <c r="P262" s="1" t="s">
        <v>546</v>
      </c>
      <c r="Q262" s="2" t="s">
        <v>547</v>
      </c>
      <c r="R262" s="63" t="s">
        <v>96</v>
      </c>
      <c r="S262" s="64" t="s">
        <v>160</v>
      </c>
    </row>
    <row r="263" spans="1:27" ht="13.5">
      <c r="A263" s="2" t="s">
        <v>757</v>
      </c>
      <c r="B263" s="4" t="s">
        <v>29</v>
      </c>
      <c r="C263" s="6" t="s">
        <v>42</v>
      </c>
      <c r="D263" s="20" t="s">
        <v>758</v>
      </c>
      <c r="E263" s="10">
        <v>280</v>
      </c>
      <c r="G263" s="4" t="s">
        <v>67</v>
      </c>
      <c r="H263" s="3">
        <v>5</v>
      </c>
      <c r="I263" s="2">
        <v>4.5</v>
      </c>
      <c r="J263" s="3" t="s">
        <v>34</v>
      </c>
      <c r="K263" s="5">
        <v>72</v>
      </c>
      <c r="L263" s="5">
        <v>72</v>
      </c>
      <c r="M263" s="5">
        <v>56</v>
      </c>
      <c r="N263" s="3">
        <v>8</v>
      </c>
      <c r="O263" s="21" t="s">
        <v>68</v>
      </c>
      <c r="P263" s="2" t="s">
        <v>759</v>
      </c>
      <c r="Q263" s="1" t="s">
        <v>760</v>
      </c>
      <c r="V263" s="63" t="s">
        <v>358</v>
      </c>
      <c r="W263" s="64" t="s">
        <v>332</v>
      </c>
      <c r="X263" s="63" t="s">
        <v>74</v>
      </c>
      <c r="Y263" s="64" t="s">
        <v>56</v>
      </c>
      <c r="Z263" s="63" t="s">
        <v>154</v>
      </c>
      <c r="AA263" s="64" t="s">
        <v>204</v>
      </c>
    </row>
    <row r="264" spans="1:27" ht="13.5">
      <c r="A264" s="2" t="s">
        <v>761</v>
      </c>
      <c r="B264" s="4" t="s">
        <v>29</v>
      </c>
      <c r="C264" s="1" t="s">
        <v>42</v>
      </c>
      <c r="D264" s="7" t="s">
        <v>762</v>
      </c>
      <c r="E264" s="10">
        <v>281</v>
      </c>
      <c r="G264" s="4" t="s">
        <v>106</v>
      </c>
      <c r="H264" s="3">
        <v>4</v>
      </c>
      <c r="I264" s="2">
        <v>1.5</v>
      </c>
      <c r="J264" s="3" t="s">
        <v>86</v>
      </c>
      <c r="K264" s="5">
        <f>L264/2</f>
        <v>20</v>
      </c>
      <c r="L264" s="5">
        <v>40</v>
      </c>
      <c r="M264" s="5">
        <v>40</v>
      </c>
      <c r="N264" s="3">
        <f>(L264+M264)/16</f>
        <v>5</v>
      </c>
      <c r="O264" s="3" t="s">
        <v>35</v>
      </c>
      <c r="P264" s="1" t="s">
        <v>618</v>
      </c>
      <c r="Q264" s="2" t="s">
        <v>619</v>
      </c>
      <c r="R264" s="63" t="s">
        <v>72</v>
      </c>
      <c r="S264" s="64" t="s">
        <v>39</v>
      </c>
    </row>
    <row r="265" spans="1:27" ht="13.5">
      <c r="A265" s="2" t="s">
        <v>763</v>
      </c>
      <c r="B265" s="4" t="s">
        <v>29</v>
      </c>
      <c r="C265" s="6" t="s">
        <v>42</v>
      </c>
      <c r="D265" s="20" t="s">
        <v>764</v>
      </c>
      <c r="E265" s="10">
        <v>282</v>
      </c>
      <c r="F265" s="4"/>
      <c r="G265" s="4" t="s">
        <v>77</v>
      </c>
      <c r="H265" s="3">
        <v>7</v>
      </c>
      <c r="I265" s="2">
        <v>4.5</v>
      </c>
      <c r="J265" s="3" t="s">
        <v>78</v>
      </c>
      <c r="K265" s="5">
        <v>67.5</v>
      </c>
      <c r="L265" s="5">
        <v>67.5</v>
      </c>
      <c r="N265" s="3">
        <v>9</v>
      </c>
      <c r="O265" s="21" t="s">
        <v>79</v>
      </c>
      <c r="P265" s="1" t="s">
        <v>383</v>
      </c>
      <c r="Q265" s="1" t="s">
        <v>487</v>
      </c>
      <c r="R265" s="63" t="s">
        <v>152</v>
      </c>
      <c r="S265" s="64" t="s">
        <v>56</v>
      </c>
      <c r="T265" s="63" t="s">
        <v>72</v>
      </c>
      <c r="U265" s="64" t="s">
        <v>160</v>
      </c>
      <c r="V265" s="63" t="s">
        <v>276</v>
      </c>
      <c r="W265" s="64" t="s">
        <v>73</v>
      </c>
    </row>
    <row r="266" spans="1:27" ht="13.5">
      <c r="A266" s="2" t="s">
        <v>765</v>
      </c>
      <c r="B266" s="4" t="s">
        <v>29</v>
      </c>
      <c r="C266" s="6" t="s">
        <v>42</v>
      </c>
      <c r="D266" s="7" t="s">
        <v>766</v>
      </c>
      <c r="E266" s="10">
        <v>283</v>
      </c>
      <c r="F266" s="3">
        <v>1</v>
      </c>
      <c r="G266" s="4" t="s">
        <v>44</v>
      </c>
      <c r="H266" s="3">
        <v>7</v>
      </c>
      <c r="I266" s="2">
        <v>4</v>
      </c>
      <c r="J266" s="3" t="s">
        <v>34</v>
      </c>
      <c r="K266" s="5">
        <v>64</v>
      </c>
      <c r="L266" s="5">
        <v>64</v>
      </c>
      <c r="M266" s="5">
        <v>32</v>
      </c>
      <c r="N266" s="3">
        <f>(K266+M266)/16</f>
        <v>6</v>
      </c>
      <c r="O266" s="3" t="s">
        <v>35</v>
      </c>
      <c r="P266" s="11" t="s">
        <v>360</v>
      </c>
      <c r="Q266" s="1" t="s">
        <v>361</v>
      </c>
      <c r="R266" s="63" t="s">
        <v>559</v>
      </c>
      <c r="S266" s="64" t="s">
        <v>257</v>
      </c>
      <c r="T266" s="63" t="s">
        <v>38</v>
      </c>
      <c r="U266" s="64" t="s">
        <v>226</v>
      </c>
    </row>
    <row r="267" spans="1:27" ht="13.5">
      <c r="A267" s="2" t="s">
        <v>767</v>
      </c>
      <c r="B267" s="4" t="s">
        <v>29</v>
      </c>
      <c r="C267" s="6" t="s">
        <v>42</v>
      </c>
      <c r="D267" s="7" t="s">
        <v>766</v>
      </c>
      <c r="E267" s="10">
        <v>283</v>
      </c>
      <c r="F267" s="3">
        <v>2</v>
      </c>
      <c r="G267" s="4" t="s">
        <v>44</v>
      </c>
      <c r="H267" s="3">
        <v>7</v>
      </c>
      <c r="I267" s="2">
        <v>4</v>
      </c>
      <c r="J267" s="3" t="s">
        <v>34</v>
      </c>
      <c r="K267" s="5">
        <v>64</v>
      </c>
      <c r="L267" s="5">
        <v>64</v>
      </c>
      <c r="M267" s="5">
        <v>32</v>
      </c>
      <c r="N267" s="3">
        <f>(K267+M267)/16</f>
        <v>6</v>
      </c>
      <c r="O267" s="3" t="s">
        <v>35</v>
      </c>
      <c r="P267" s="11" t="s">
        <v>52</v>
      </c>
      <c r="Q267" s="1" t="s">
        <v>53</v>
      </c>
      <c r="T267" s="63" t="s">
        <v>55</v>
      </c>
      <c r="U267" s="64" t="s">
        <v>216</v>
      </c>
      <c r="X267" s="63" t="s">
        <v>55</v>
      </c>
      <c r="Y267" s="64" t="s">
        <v>226</v>
      </c>
    </row>
    <row r="268" spans="1:27" ht="13.5">
      <c r="A268" s="2" t="s">
        <v>768</v>
      </c>
      <c r="B268" s="4" t="s">
        <v>29</v>
      </c>
      <c r="C268" s="1" t="s">
        <v>769</v>
      </c>
      <c r="D268" s="9" t="s">
        <v>770</v>
      </c>
      <c r="E268" s="10">
        <v>372</v>
      </c>
      <c r="G268" s="4" t="s">
        <v>77</v>
      </c>
      <c r="H268" s="3">
        <v>6</v>
      </c>
      <c r="I268" s="2">
        <v>4.5</v>
      </c>
      <c r="J268" s="4" t="s">
        <v>78</v>
      </c>
      <c r="K268" s="5">
        <v>67.5</v>
      </c>
      <c r="L268" s="5">
        <v>67.5</v>
      </c>
      <c r="N268" s="8">
        <v>9</v>
      </c>
      <c r="O268" s="3" t="s">
        <v>648</v>
      </c>
      <c r="P268" s="30" t="s">
        <v>771</v>
      </c>
      <c r="Q268" s="1" t="s">
        <v>772</v>
      </c>
      <c r="R268" s="63" t="s">
        <v>72</v>
      </c>
      <c r="S268" s="64" t="s">
        <v>160</v>
      </c>
      <c r="T268" s="63" t="s">
        <v>276</v>
      </c>
      <c r="U268" s="64" t="s">
        <v>149</v>
      </c>
      <c r="X268" s="63" t="s">
        <v>268</v>
      </c>
      <c r="Y268" s="64" t="s">
        <v>165</v>
      </c>
    </row>
    <row r="269" spans="1:27" ht="27">
      <c r="A269" s="2" t="s">
        <v>773</v>
      </c>
      <c r="B269" s="4" t="s">
        <v>29</v>
      </c>
      <c r="C269" s="1" t="s">
        <v>769</v>
      </c>
      <c r="D269" s="9" t="s">
        <v>774</v>
      </c>
      <c r="E269" s="10">
        <v>373</v>
      </c>
      <c r="F269" s="3">
        <v>1</v>
      </c>
      <c r="G269" s="4" t="s">
        <v>133</v>
      </c>
      <c r="H269" s="3">
        <v>4</v>
      </c>
      <c r="I269" s="2">
        <v>5</v>
      </c>
      <c r="J269" s="4" t="s">
        <v>34</v>
      </c>
      <c r="K269" s="5">
        <v>80</v>
      </c>
      <c r="L269" s="5">
        <v>80</v>
      </c>
      <c r="M269" s="5">
        <v>48</v>
      </c>
      <c r="N269" s="8">
        <v>8</v>
      </c>
      <c r="O269" s="3" t="s">
        <v>35</v>
      </c>
      <c r="P269" s="30" t="s">
        <v>775</v>
      </c>
      <c r="Q269" s="1" t="s">
        <v>776</v>
      </c>
      <c r="T269" s="63" t="s">
        <v>72</v>
      </c>
      <c r="U269" s="64" t="s">
        <v>342</v>
      </c>
      <c r="V269" s="63" t="s">
        <v>276</v>
      </c>
      <c r="W269" s="64" t="s">
        <v>342</v>
      </c>
      <c r="X269" s="63" t="s">
        <v>258</v>
      </c>
      <c r="Y269" s="64" t="s">
        <v>342</v>
      </c>
    </row>
    <row r="270" spans="1:27" ht="13.5">
      <c r="A270" s="2" t="s">
        <v>777</v>
      </c>
      <c r="B270" s="4" t="s">
        <v>29</v>
      </c>
      <c r="C270" s="1" t="s">
        <v>769</v>
      </c>
      <c r="D270" s="9" t="s">
        <v>778</v>
      </c>
      <c r="E270" s="10">
        <v>374</v>
      </c>
      <c r="G270" s="4" t="s">
        <v>106</v>
      </c>
      <c r="H270" s="3">
        <v>5</v>
      </c>
      <c r="I270" s="2">
        <v>3</v>
      </c>
      <c r="J270" s="4" t="s">
        <v>34</v>
      </c>
      <c r="K270" s="5">
        <v>48</v>
      </c>
      <c r="L270" s="5">
        <v>48</v>
      </c>
      <c r="M270" s="5">
        <v>32</v>
      </c>
      <c r="N270" s="8">
        <v>5</v>
      </c>
      <c r="O270" s="3" t="s">
        <v>35</v>
      </c>
      <c r="P270" s="30" t="s">
        <v>223</v>
      </c>
      <c r="Q270" s="1" t="s">
        <v>224</v>
      </c>
      <c r="V270" s="63" t="s">
        <v>123</v>
      </c>
      <c r="W270" s="64" t="s">
        <v>257</v>
      </c>
      <c r="X270" s="63" t="s">
        <v>74</v>
      </c>
      <c r="Y270" s="64" t="s">
        <v>257</v>
      </c>
    </row>
    <row r="271" spans="1:27" ht="22.5">
      <c r="A271" s="2" t="s">
        <v>779</v>
      </c>
      <c r="B271" s="4" t="s">
        <v>29</v>
      </c>
      <c r="C271" s="1" t="s">
        <v>769</v>
      </c>
      <c r="D271" s="9" t="s">
        <v>780</v>
      </c>
      <c r="E271" s="10">
        <v>375</v>
      </c>
      <c r="G271" s="4" t="s">
        <v>137</v>
      </c>
      <c r="H271" s="3">
        <v>5</v>
      </c>
      <c r="I271" s="2">
        <v>4</v>
      </c>
      <c r="J271" s="4" t="s">
        <v>34</v>
      </c>
      <c r="K271" s="5">
        <v>64</v>
      </c>
      <c r="L271" s="5">
        <v>64</v>
      </c>
      <c r="M271" s="5">
        <v>64</v>
      </c>
      <c r="N271" s="8">
        <v>8</v>
      </c>
      <c r="O271" s="3" t="s">
        <v>35</v>
      </c>
      <c r="P271" s="30" t="s">
        <v>309</v>
      </c>
      <c r="Q271" s="1" t="s">
        <v>310</v>
      </c>
      <c r="V271" s="63" t="s">
        <v>164</v>
      </c>
      <c r="W271" s="64" t="s">
        <v>118</v>
      </c>
      <c r="Z271" s="63" t="s">
        <v>258</v>
      </c>
      <c r="AA271" s="64" t="s">
        <v>110</v>
      </c>
    </row>
    <row r="272" spans="1:27" ht="22.5">
      <c r="A272" s="2" t="s">
        <v>781</v>
      </c>
      <c r="B272" s="4" t="s">
        <v>29</v>
      </c>
      <c r="C272" s="1" t="s">
        <v>769</v>
      </c>
      <c r="D272" s="9" t="s">
        <v>782</v>
      </c>
      <c r="E272" s="10">
        <v>376</v>
      </c>
      <c r="G272" s="4" t="s">
        <v>120</v>
      </c>
      <c r="H272" s="3">
        <v>6</v>
      </c>
      <c r="I272" s="2">
        <v>4</v>
      </c>
      <c r="J272" s="4" t="s">
        <v>34</v>
      </c>
      <c r="K272" s="5">
        <v>64</v>
      </c>
      <c r="L272" s="5">
        <v>64</v>
      </c>
      <c r="M272" s="5">
        <v>80</v>
      </c>
      <c r="N272" s="8">
        <v>9</v>
      </c>
      <c r="O272" s="3" t="s">
        <v>35</v>
      </c>
      <c r="P272" s="30" t="s">
        <v>266</v>
      </c>
      <c r="Q272" s="1" t="s">
        <v>267</v>
      </c>
      <c r="V272" s="63" t="s">
        <v>164</v>
      </c>
      <c r="W272" s="64" t="s">
        <v>215</v>
      </c>
      <c r="Z272" s="63" t="s">
        <v>411</v>
      </c>
      <c r="AA272" s="64" t="s">
        <v>257</v>
      </c>
    </row>
    <row r="273" spans="1:28" ht="22.5">
      <c r="A273" s="2" t="s">
        <v>783</v>
      </c>
      <c r="B273" s="4" t="s">
        <v>29</v>
      </c>
      <c r="C273" s="1" t="s">
        <v>769</v>
      </c>
      <c r="D273" s="9" t="s">
        <v>784</v>
      </c>
      <c r="E273" s="10">
        <v>377</v>
      </c>
      <c r="G273" s="4" t="s">
        <v>785</v>
      </c>
      <c r="H273" s="38" t="s">
        <v>786</v>
      </c>
      <c r="I273" s="2">
        <v>4.5</v>
      </c>
      <c r="J273" s="4" t="s">
        <v>34</v>
      </c>
      <c r="K273" s="5">
        <v>72</v>
      </c>
      <c r="L273" s="5">
        <v>72</v>
      </c>
      <c r="M273" s="5">
        <v>72</v>
      </c>
      <c r="N273" s="8">
        <v>9</v>
      </c>
      <c r="O273" s="3" t="s">
        <v>240</v>
      </c>
      <c r="P273" s="30" t="s">
        <v>787</v>
      </c>
      <c r="Q273" s="1" t="s">
        <v>788</v>
      </c>
      <c r="R273" s="63" t="s">
        <v>72</v>
      </c>
      <c r="S273" s="64" t="s">
        <v>48</v>
      </c>
      <c r="T273" s="63" t="s">
        <v>276</v>
      </c>
      <c r="U273" s="64" t="s">
        <v>110</v>
      </c>
      <c r="X273" s="63" t="s">
        <v>268</v>
      </c>
      <c r="Y273" s="64" t="s">
        <v>64</v>
      </c>
    </row>
    <row r="274" spans="1:28" ht="22.5">
      <c r="A274" s="2" t="s">
        <v>789</v>
      </c>
      <c r="B274" s="4" t="s">
        <v>29</v>
      </c>
      <c r="C274" s="1" t="s">
        <v>769</v>
      </c>
      <c r="D274" s="7" t="s">
        <v>790</v>
      </c>
      <c r="E274" s="10">
        <v>378</v>
      </c>
      <c r="G274" s="24" t="s">
        <v>791</v>
      </c>
      <c r="H274" s="24">
        <v>9</v>
      </c>
      <c r="I274" s="2">
        <v>4.5</v>
      </c>
      <c r="J274" s="3" t="s">
        <v>34</v>
      </c>
      <c r="K274" s="39">
        <v>72</v>
      </c>
      <c r="L274" s="39">
        <v>72</v>
      </c>
      <c r="M274" s="39">
        <v>72</v>
      </c>
      <c r="N274" s="40">
        <v>9</v>
      </c>
      <c r="O274" s="3" t="s">
        <v>35</v>
      </c>
      <c r="P274" s="26" t="s">
        <v>792</v>
      </c>
      <c r="Q274" s="26" t="s">
        <v>793</v>
      </c>
      <c r="R274" s="63" t="s">
        <v>249</v>
      </c>
      <c r="S274" s="64" t="s">
        <v>216</v>
      </c>
      <c r="X274" s="63" t="s">
        <v>249</v>
      </c>
      <c r="Y274" s="64" t="s">
        <v>257</v>
      </c>
      <c r="Z274" s="63" t="s">
        <v>249</v>
      </c>
      <c r="AA274" s="64" t="s">
        <v>257</v>
      </c>
    </row>
    <row r="275" spans="1:28" ht="13.5">
      <c r="A275" s="2" t="s">
        <v>794</v>
      </c>
      <c r="B275" s="4" t="s">
        <v>29</v>
      </c>
      <c r="C275" s="1" t="s">
        <v>769</v>
      </c>
      <c r="D275" s="9" t="s">
        <v>795</v>
      </c>
      <c r="E275" s="10">
        <v>379</v>
      </c>
      <c r="G275" s="4" t="s">
        <v>796</v>
      </c>
      <c r="H275" s="3" t="s">
        <v>797</v>
      </c>
      <c r="I275" s="2">
        <v>4.5</v>
      </c>
      <c r="J275" s="4" t="s">
        <v>34</v>
      </c>
      <c r="K275" s="5">
        <v>72</v>
      </c>
      <c r="L275" s="5">
        <v>72</v>
      </c>
      <c r="M275" s="5">
        <v>72</v>
      </c>
      <c r="N275" s="8">
        <v>9</v>
      </c>
      <c r="O275" s="3" t="s">
        <v>35</v>
      </c>
      <c r="P275" s="30" t="s">
        <v>87</v>
      </c>
      <c r="Q275" s="1" t="s">
        <v>88</v>
      </c>
      <c r="R275" s="63" t="s">
        <v>161</v>
      </c>
      <c r="S275" s="64" t="s">
        <v>50</v>
      </c>
      <c r="X275" s="63" t="s">
        <v>395</v>
      </c>
      <c r="Y275" s="64" t="s">
        <v>172</v>
      </c>
      <c r="Z275" s="63" t="s">
        <v>109</v>
      </c>
      <c r="AA275" s="64" t="s">
        <v>332</v>
      </c>
    </row>
    <row r="276" spans="1:28" ht="27">
      <c r="A276" s="2" t="s">
        <v>798</v>
      </c>
      <c r="B276" s="3" t="s">
        <v>29</v>
      </c>
      <c r="C276" s="1" t="s">
        <v>769</v>
      </c>
      <c r="D276" s="15" t="s">
        <v>799</v>
      </c>
      <c r="E276" s="10">
        <v>380</v>
      </c>
      <c r="F276" s="3">
        <v>2</v>
      </c>
      <c r="G276" s="4" t="s">
        <v>133</v>
      </c>
      <c r="H276" s="3">
        <v>5</v>
      </c>
      <c r="I276" s="2">
        <v>3</v>
      </c>
      <c r="J276" s="4" t="s">
        <v>34</v>
      </c>
      <c r="K276" s="5">
        <v>48</v>
      </c>
      <c r="L276" s="5">
        <v>48</v>
      </c>
      <c r="M276" s="5">
        <v>48</v>
      </c>
      <c r="N276" s="5">
        <v>6</v>
      </c>
      <c r="O276" s="2" t="s">
        <v>35</v>
      </c>
      <c r="P276" s="1" t="s">
        <v>501</v>
      </c>
      <c r="Q276" s="1" t="s">
        <v>502</v>
      </c>
      <c r="T276" s="63" t="s">
        <v>71</v>
      </c>
      <c r="U276" s="64" t="s">
        <v>342</v>
      </c>
      <c r="V276" s="63" t="s">
        <v>152</v>
      </c>
      <c r="W276" s="64" t="s">
        <v>342</v>
      </c>
      <c r="AB276" s="71"/>
    </row>
    <row r="277" spans="1:28" ht="13.5">
      <c r="A277" s="2" t="s">
        <v>800</v>
      </c>
      <c r="B277" s="4" t="s">
        <v>29</v>
      </c>
      <c r="C277" s="1" t="s">
        <v>769</v>
      </c>
      <c r="D277" s="9" t="s">
        <v>801</v>
      </c>
      <c r="E277" s="10">
        <v>382</v>
      </c>
      <c r="G277" s="4" t="s">
        <v>77</v>
      </c>
      <c r="H277" s="3">
        <v>7</v>
      </c>
      <c r="I277" s="2">
        <v>4.5</v>
      </c>
      <c r="J277" s="4" t="s">
        <v>34</v>
      </c>
      <c r="K277" s="5">
        <v>67.5</v>
      </c>
      <c r="L277" s="5">
        <v>67.5</v>
      </c>
      <c r="N277" s="8">
        <v>9</v>
      </c>
      <c r="O277" s="3" t="s">
        <v>648</v>
      </c>
      <c r="P277" s="30" t="s">
        <v>802</v>
      </c>
      <c r="Q277" s="1" t="s">
        <v>803</v>
      </c>
      <c r="V277" s="63" t="s">
        <v>72</v>
      </c>
      <c r="W277" s="64" t="s">
        <v>149</v>
      </c>
      <c r="X277" s="63" t="s">
        <v>154</v>
      </c>
      <c r="Y277" s="64" t="s">
        <v>165</v>
      </c>
      <c r="Z277" s="63" t="s">
        <v>154</v>
      </c>
      <c r="AA277" s="64" t="s">
        <v>50</v>
      </c>
    </row>
    <row r="278" spans="1:28" ht="13.5">
      <c r="A278" s="2" t="s">
        <v>804</v>
      </c>
      <c r="B278" s="4" t="s">
        <v>29</v>
      </c>
      <c r="C278" s="1" t="s">
        <v>769</v>
      </c>
      <c r="D278" s="9" t="s">
        <v>805</v>
      </c>
      <c r="E278" s="10">
        <v>383</v>
      </c>
      <c r="G278" s="4" t="s">
        <v>806</v>
      </c>
      <c r="H278" s="3" t="s">
        <v>807</v>
      </c>
      <c r="I278" s="2">
        <v>5</v>
      </c>
      <c r="J278" s="4" t="s">
        <v>34</v>
      </c>
      <c r="K278" s="5">
        <v>80</v>
      </c>
      <c r="L278" s="5">
        <v>80</v>
      </c>
      <c r="M278" s="5">
        <v>80</v>
      </c>
      <c r="N278" s="8">
        <v>10</v>
      </c>
      <c r="O278" s="3" t="s">
        <v>35</v>
      </c>
      <c r="P278" s="30" t="s">
        <v>808</v>
      </c>
      <c r="Q278" s="1" t="s">
        <v>809</v>
      </c>
      <c r="R278" s="63" t="s">
        <v>626</v>
      </c>
      <c r="S278" s="64" t="s">
        <v>810</v>
      </c>
      <c r="T278" s="63" t="s">
        <v>124</v>
      </c>
      <c r="U278" s="64" t="s">
        <v>810</v>
      </c>
      <c r="X278" s="63" t="s">
        <v>124</v>
      </c>
      <c r="Y278" s="64" t="s">
        <v>810</v>
      </c>
    </row>
    <row r="279" spans="1:28" ht="13.5">
      <c r="A279" s="2" t="s">
        <v>811</v>
      </c>
      <c r="B279" s="4" t="s">
        <v>29</v>
      </c>
      <c r="C279" s="7" t="s">
        <v>769</v>
      </c>
      <c r="D279" s="41" t="s">
        <v>812</v>
      </c>
      <c r="E279" s="10">
        <v>384</v>
      </c>
      <c r="F279" s="4"/>
      <c r="G279" s="4" t="s">
        <v>106</v>
      </c>
      <c r="H279" s="3">
        <v>6</v>
      </c>
      <c r="I279" s="42">
        <v>4</v>
      </c>
      <c r="J279" s="4" t="s">
        <v>34</v>
      </c>
      <c r="K279" s="5">
        <v>64</v>
      </c>
      <c r="L279" s="5">
        <v>64</v>
      </c>
      <c r="M279" s="5">
        <v>48</v>
      </c>
      <c r="N279" s="8">
        <v>7</v>
      </c>
      <c r="O279" s="3" t="s">
        <v>35</v>
      </c>
      <c r="P279" s="7" t="s">
        <v>520</v>
      </c>
      <c r="Q279" s="7" t="s">
        <v>521</v>
      </c>
      <c r="R279" s="63" t="s">
        <v>49</v>
      </c>
      <c r="S279" s="64" t="s">
        <v>226</v>
      </c>
      <c r="X279" s="63" t="s">
        <v>626</v>
      </c>
      <c r="Y279" s="64" t="s">
        <v>813</v>
      </c>
      <c r="AB279" s="71"/>
    </row>
    <row r="280" spans="1:28" ht="13.5">
      <c r="A280" s="2" t="s">
        <v>814</v>
      </c>
      <c r="B280" s="4" t="s">
        <v>29</v>
      </c>
      <c r="C280" s="1" t="s">
        <v>769</v>
      </c>
      <c r="D280" s="9" t="s">
        <v>815</v>
      </c>
      <c r="E280" s="10">
        <v>385</v>
      </c>
      <c r="G280" s="4" t="s">
        <v>144</v>
      </c>
      <c r="H280" s="3">
        <v>5</v>
      </c>
      <c r="I280" s="2">
        <v>3</v>
      </c>
      <c r="J280" s="4" t="s">
        <v>34</v>
      </c>
      <c r="K280" s="5">
        <v>48</v>
      </c>
      <c r="L280" s="5">
        <v>48</v>
      </c>
      <c r="M280" s="5">
        <v>48</v>
      </c>
      <c r="N280" s="8">
        <v>6</v>
      </c>
      <c r="O280" s="3" t="s">
        <v>35</v>
      </c>
      <c r="P280" s="30" t="s">
        <v>480</v>
      </c>
      <c r="Q280" s="1" t="s">
        <v>481</v>
      </c>
      <c r="T280" s="63" t="s">
        <v>152</v>
      </c>
      <c r="U280" s="64" t="s">
        <v>97</v>
      </c>
      <c r="Z280" s="63" t="s">
        <v>82</v>
      </c>
      <c r="AA280" s="64" t="s">
        <v>50</v>
      </c>
    </row>
    <row r="281" spans="1:28" ht="13.5">
      <c r="A281" s="2" t="s">
        <v>816</v>
      </c>
      <c r="B281" s="4" t="s">
        <v>29</v>
      </c>
      <c r="C281" s="1" t="s">
        <v>769</v>
      </c>
      <c r="D281" s="43" t="s">
        <v>817</v>
      </c>
      <c r="E281" s="10">
        <v>386</v>
      </c>
      <c r="F281" s="3">
        <v>1</v>
      </c>
      <c r="G281" s="4" t="s">
        <v>44</v>
      </c>
      <c r="H281" s="3">
        <v>6</v>
      </c>
      <c r="I281" s="3">
        <v>4</v>
      </c>
      <c r="J281" s="4" t="s">
        <v>34</v>
      </c>
      <c r="K281" s="5">
        <v>64</v>
      </c>
      <c r="L281" s="5">
        <v>64</v>
      </c>
      <c r="M281" s="5">
        <v>80</v>
      </c>
      <c r="N281" s="8">
        <v>9</v>
      </c>
      <c r="O281" s="3" t="s">
        <v>35</v>
      </c>
      <c r="P281" s="11" t="s">
        <v>818</v>
      </c>
      <c r="Q281" s="1" t="s">
        <v>819</v>
      </c>
      <c r="X281" s="63" t="s">
        <v>559</v>
      </c>
      <c r="Y281" s="64" t="s">
        <v>226</v>
      </c>
      <c r="Z281" s="63" t="s">
        <v>559</v>
      </c>
      <c r="AA281" s="64" t="s">
        <v>216</v>
      </c>
    </row>
    <row r="282" spans="1:28" ht="13.5">
      <c r="A282" s="2" t="s">
        <v>820</v>
      </c>
      <c r="B282" s="4" t="s">
        <v>29</v>
      </c>
      <c r="C282" s="1" t="s">
        <v>769</v>
      </c>
      <c r="D282" s="15" t="s">
        <v>821</v>
      </c>
      <c r="E282" s="10">
        <v>387</v>
      </c>
      <c r="G282" s="4" t="s">
        <v>137</v>
      </c>
      <c r="H282" s="3">
        <v>5</v>
      </c>
      <c r="I282" s="2">
        <v>4</v>
      </c>
      <c r="J282" s="4" t="s">
        <v>34</v>
      </c>
      <c r="K282" s="5">
        <v>64</v>
      </c>
      <c r="L282" s="5">
        <v>64</v>
      </c>
      <c r="M282" s="5">
        <v>64</v>
      </c>
      <c r="N282" s="8">
        <v>8</v>
      </c>
      <c r="O282" s="3" t="s">
        <v>35</v>
      </c>
      <c r="P282" s="44" t="s">
        <v>822</v>
      </c>
      <c r="Q282" s="1" t="s">
        <v>823</v>
      </c>
      <c r="V282" s="63" t="s">
        <v>38</v>
      </c>
      <c r="W282" s="64" t="s">
        <v>160</v>
      </c>
      <c r="Z282" s="63" t="s">
        <v>258</v>
      </c>
      <c r="AA282" s="64" t="s">
        <v>97</v>
      </c>
    </row>
    <row r="283" spans="1:28" ht="22.5">
      <c r="A283" s="2" t="s">
        <v>824</v>
      </c>
      <c r="B283" s="4" t="s">
        <v>29</v>
      </c>
      <c r="C283" s="1" t="s">
        <v>769</v>
      </c>
      <c r="D283" s="9" t="s">
        <v>825</v>
      </c>
      <c r="E283" s="10">
        <v>388</v>
      </c>
      <c r="G283" s="4" t="s">
        <v>120</v>
      </c>
      <c r="H283" s="3">
        <v>5</v>
      </c>
      <c r="I283" s="2">
        <v>4.5</v>
      </c>
      <c r="J283" s="4" t="s">
        <v>34</v>
      </c>
      <c r="K283" s="5">
        <v>72</v>
      </c>
      <c r="L283" s="5">
        <v>72</v>
      </c>
      <c r="M283" s="5">
        <v>56</v>
      </c>
      <c r="N283" s="8">
        <v>8</v>
      </c>
      <c r="O283" s="3" t="s">
        <v>35</v>
      </c>
      <c r="P283" s="30" t="s">
        <v>219</v>
      </c>
      <c r="Q283" s="1" t="s">
        <v>220</v>
      </c>
      <c r="R283" s="63" t="s">
        <v>82</v>
      </c>
      <c r="S283" s="64" t="s">
        <v>408</v>
      </c>
      <c r="V283" s="63" t="s">
        <v>123</v>
      </c>
      <c r="W283" s="64" t="s">
        <v>244</v>
      </c>
      <c r="Z283" s="63" t="s">
        <v>333</v>
      </c>
      <c r="AA283" s="64" t="s">
        <v>62</v>
      </c>
    </row>
    <row r="284" spans="1:28" ht="27">
      <c r="A284" s="2" t="s">
        <v>826</v>
      </c>
      <c r="B284" s="4" t="s">
        <v>29</v>
      </c>
      <c r="C284" s="1" t="s">
        <v>769</v>
      </c>
      <c r="D284" s="9" t="s">
        <v>827</v>
      </c>
      <c r="E284" s="10">
        <v>389</v>
      </c>
      <c r="F284" s="3">
        <v>3</v>
      </c>
      <c r="G284" s="4" t="s">
        <v>133</v>
      </c>
      <c r="H284" s="3">
        <v>5</v>
      </c>
      <c r="I284" s="2">
        <v>4.5</v>
      </c>
      <c r="J284" s="4" t="s">
        <v>34</v>
      </c>
      <c r="K284" s="5">
        <v>72</v>
      </c>
      <c r="L284" s="5">
        <v>72</v>
      </c>
      <c r="M284" s="5">
        <v>56</v>
      </c>
      <c r="N284" s="8">
        <v>8</v>
      </c>
      <c r="O284" s="3" t="s">
        <v>35</v>
      </c>
      <c r="P284" s="30" t="s">
        <v>566</v>
      </c>
      <c r="Q284" s="1" t="s">
        <v>567</v>
      </c>
      <c r="R284" s="63" t="s">
        <v>82</v>
      </c>
      <c r="S284" s="64" t="s">
        <v>342</v>
      </c>
      <c r="T284" s="63" t="s">
        <v>276</v>
      </c>
      <c r="U284" s="64" t="s">
        <v>342</v>
      </c>
      <c r="V284" s="63" t="s">
        <v>123</v>
      </c>
      <c r="W284" s="64" t="s">
        <v>342</v>
      </c>
      <c r="AB284" s="71"/>
    </row>
    <row r="285" spans="1:28" ht="33">
      <c r="A285" s="2" t="s">
        <v>828</v>
      </c>
      <c r="B285" s="4" t="s">
        <v>29</v>
      </c>
      <c r="C285" s="1" t="s">
        <v>769</v>
      </c>
      <c r="D285" s="9" t="s">
        <v>829</v>
      </c>
      <c r="E285" s="10">
        <v>390</v>
      </c>
      <c r="G285" s="4" t="s">
        <v>120</v>
      </c>
      <c r="H285" s="3">
        <v>6</v>
      </c>
      <c r="I285" s="2">
        <v>4.5</v>
      </c>
      <c r="J285" s="4" t="s">
        <v>34</v>
      </c>
      <c r="K285" s="5">
        <v>72</v>
      </c>
      <c r="L285" s="5">
        <v>72</v>
      </c>
      <c r="M285" s="5">
        <v>72</v>
      </c>
      <c r="N285" s="8">
        <v>9</v>
      </c>
      <c r="O285" s="3" t="s">
        <v>35</v>
      </c>
      <c r="P285" s="45" t="s">
        <v>352</v>
      </c>
      <c r="Q285" s="1" t="s">
        <v>353</v>
      </c>
      <c r="T285" s="63" t="s">
        <v>272</v>
      </c>
      <c r="U285" s="64" t="s">
        <v>39</v>
      </c>
      <c r="X285" s="63" t="s">
        <v>249</v>
      </c>
      <c r="Y285" s="64" t="s">
        <v>64</v>
      </c>
      <c r="Z285" s="63" t="s">
        <v>249</v>
      </c>
      <c r="AA285" s="64" t="s">
        <v>332</v>
      </c>
    </row>
    <row r="286" spans="1:28" ht="22.5">
      <c r="A286" s="2" t="s">
        <v>830</v>
      </c>
      <c r="B286" s="4" t="s">
        <v>29</v>
      </c>
      <c r="C286" s="1" t="s">
        <v>769</v>
      </c>
      <c r="D286" s="9" t="s">
        <v>831</v>
      </c>
      <c r="E286" s="10">
        <v>391</v>
      </c>
      <c r="G286" s="4" t="s">
        <v>137</v>
      </c>
      <c r="H286" s="3">
        <v>7</v>
      </c>
      <c r="I286" s="2">
        <v>4</v>
      </c>
      <c r="J286" s="4" t="s">
        <v>34</v>
      </c>
      <c r="K286" s="5">
        <v>64</v>
      </c>
      <c r="L286" s="5">
        <v>64</v>
      </c>
      <c r="M286" s="5">
        <v>64</v>
      </c>
      <c r="N286" s="8">
        <v>8</v>
      </c>
      <c r="O286" s="3" t="s">
        <v>35</v>
      </c>
      <c r="P286" s="30" t="s">
        <v>531</v>
      </c>
      <c r="Q286" s="1" t="s">
        <v>532</v>
      </c>
      <c r="R286" s="63" t="s">
        <v>55</v>
      </c>
      <c r="S286" s="64" t="s">
        <v>429</v>
      </c>
      <c r="X286" s="63" t="s">
        <v>290</v>
      </c>
      <c r="Y286" s="64" t="s">
        <v>429</v>
      </c>
    </row>
    <row r="287" spans="1:28" ht="13.5">
      <c r="A287" s="2" t="s">
        <v>832</v>
      </c>
      <c r="B287" s="4" t="s">
        <v>29</v>
      </c>
      <c r="C287" s="1" t="s">
        <v>769</v>
      </c>
      <c r="D287" s="9" t="s">
        <v>833</v>
      </c>
      <c r="E287" s="10">
        <v>392</v>
      </c>
      <c r="G287" s="4" t="s">
        <v>106</v>
      </c>
      <c r="H287" s="3">
        <v>6</v>
      </c>
      <c r="I287" s="2">
        <v>4</v>
      </c>
      <c r="J287" s="4" t="s">
        <v>34</v>
      </c>
      <c r="K287" s="5">
        <v>64</v>
      </c>
      <c r="L287" s="5">
        <v>64</v>
      </c>
      <c r="M287" s="5">
        <v>64</v>
      </c>
      <c r="N287" s="8">
        <v>8</v>
      </c>
      <c r="O287" s="3" t="s">
        <v>35</v>
      </c>
      <c r="P287" s="30" t="s">
        <v>622</v>
      </c>
      <c r="Q287" s="1" t="s">
        <v>623</v>
      </c>
      <c r="R287" s="63" t="s">
        <v>49</v>
      </c>
      <c r="S287" s="64" t="s">
        <v>62</v>
      </c>
      <c r="X287" s="63" t="s">
        <v>49</v>
      </c>
      <c r="Y287" s="64" t="s">
        <v>62</v>
      </c>
    </row>
    <row r="288" spans="1:28" ht="13.5">
      <c r="A288" s="2" t="s">
        <v>834</v>
      </c>
      <c r="B288" s="4" t="s">
        <v>29</v>
      </c>
      <c r="C288" s="1" t="s">
        <v>769</v>
      </c>
      <c r="D288" s="9" t="s">
        <v>835</v>
      </c>
      <c r="E288" s="10">
        <v>393</v>
      </c>
      <c r="G288" s="4" t="s">
        <v>745</v>
      </c>
      <c r="H288" s="3">
        <v>5</v>
      </c>
      <c r="I288" s="2">
        <v>4</v>
      </c>
      <c r="J288" s="4" t="s">
        <v>34</v>
      </c>
      <c r="K288" s="5">
        <v>64</v>
      </c>
      <c r="L288" s="5">
        <v>64</v>
      </c>
      <c r="M288" s="5">
        <v>64</v>
      </c>
      <c r="N288" s="8">
        <v>8</v>
      </c>
      <c r="O288" s="3" t="s">
        <v>35</v>
      </c>
      <c r="P288" s="30" t="s">
        <v>468</v>
      </c>
      <c r="Q288" s="1" t="s">
        <v>469</v>
      </c>
      <c r="V288" s="63" t="s">
        <v>49</v>
      </c>
      <c r="W288" s="64" t="s">
        <v>216</v>
      </c>
      <c r="Z288" s="63" t="s">
        <v>47</v>
      </c>
      <c r="AA288" s="64" t="s">
        <v>226</v>
      </c>
    </row>
    <row r="289" spans="1:28" ht="13.5">
      <c r="A289" s="2" t="s">
        <v>836</v>
      </c>
      <c r="B289" s="4" t="s">
        <v>29</v>
      </c>
      <c r="C289" s="1" t="s">
        <v>769</v>
      </c>
      <c r="D289" s="9" t="s">
        <v>837</v>
      </c>
      <c r="E289" s="10">
        <v>394</v>
      </c>
      <c r="G289" s="4" t="s">
        <v>106</v>
      </c>
      <c r="H289" s="3">
        <v>6</v>
      </c>
      <c r="I289" s="2">
        <v>4</v>
      </c>
      <c r="J289" s="4" t="s">
        <v>34</v>
      </c>
      <c r="K289" s="5">
        <v>72</v>
      </c>
      <c r="L289" s="5">
        <v>72</v>
      </c>
      <c r="M289" s="5">
        <v>40</v>
      </c>
      <c r="N289" s="8">
        <v>7</v>
      </c>
      <c r="O289" s="3" t="s">
        <v>35</v>
      </c>
      <c r="P289" s="30" t="s">
        <v>288</v>
      </c>
      <c r="Q289" s="1" t="s">
        <v>289</v>
      </c>
      <c r="V289" s="63" t="s">
        <v>559</v>
      </c>
      <c r="W289" s="64" t="s">
        <v>429</v>
      </c>
      <c r="Z289" s="63" t="s">
        <v>258</v>
      </c>
      <c r="AA289" s="64" t="s">
        <v>244</v>
      </c>
    </row>
    <row r="290" spans="1:28" ht="13.5">
      <c r="A290" s="2" t="s">
        <v>838</v>
      </c>
      <c r="B290" s="4" t="s">
        <v>29</v>
      </c>
      <c r="C290" s="1" t="s">
        <v>769</v>
      </c>
      <c r="D290" s="9" t="s">
        <v>839</v>
      </c>
      <c r="E290" s="10">
        <v>395</v>
      </c>
      <c r="G290" s="4" t="s">
        <v>745</v>
      </c>
      <c r="H290" s="3">
        <v>5</v>
      </c>
      <c r="I290" s="2">
        <v>4.5</v>
      </c>
      <c r="J290" s="4" t="s">
        <v>34</v>
      </c>
      <c r="K290" s="5">
        <v>72</v>
      </c>
      <c r="L290" s="5">
        <v>72</v>
      </c>
      <c r="M290" s="5">
        <v>56</v>
      </c>
      <c r="N290" s="8">
        <v>8</v>
      </c>
      <c r="O290" s="3" t="s">
        <v>35</v>
      </c>
      <c r="P290" s="30" t="s">
        <v>305</v>
      </c>
      <c r="Q290" s="1" t="s">
        <v>610</v>
      </c>
      <c r="R290" s="63" t="s">
        <v>82</v>
      </c>
      <c r="S290" s="64" t="s">
        <v>244</v>
      </c>
      <c r="T290" s="63" t="s">
        <v>72</v>
      </c>
      <c r="U290" s="64" t="s">
        <v>244</v>
      </c>
      <c r="V290" s="63" t="s">
        <v>276</v>
      </c>
      <c r="W290" s="64" t="s">
        <v>244</v>
      </c>
    </row>
    <row r="291" spans="1:28" ht="22.5">
      <c r="A291" s="2" t="s">
        <v>840</v>
      </c>
      <c r="B291" s="4" t="s">
        <v>29</v>
      </c>
      <c r="C291" s="1" t="s">
        <v>769</v>
      </c>
      <c r="D291" s="15" t="s">
        <v>841</v>
      </c>
      <c r="E291" s="10">
        <v>396</v>
      </c>
      <c r="G291" s="4" t="s">
        <v>44</v>
      </c>
      <c r="H291" s="3">
        <v>6</v>
      </c>
      <c r="I291" s="2">
        <v>1.5</v>
      </c>
      <c r="J291" s="4" t="s">
        <v>34</v>
      </c>
      <c r="K291" s="5">
        <v>24</v>
      </c>
      <c r="L291" s="5">
        <v>0</v>
      </c>
      <c r="M291" s="5">
        <v>80</v>
      </c>
      <c r="N291" s="8">
        <v>5</v>
      </c>
      <c r="P291" s="12" t="s">
        <v>474</v>
      </c>
      <c r="Q291" s="1" t="s">
        <v>475</v>
      </c>
    </row>
    <row r="292" spans="1:28" ht="22.5">
      <c r="A292" s="2" t="s">
        <v>842</v>
      </c>
      <c r="B292" s="4" t="s">
        <v>29</v>
      </c>
      <c r="C292" s="1" t="s">
        <v>769</v>
      </c>
      <c r="D292" s="9" t="s">
        <v>843</v>
      </c>
      <c r="E292" s="10">
        <v>397</v>
      </c>
      <c r="G292" s="4" t="s">
        <v>137</v>
      </c>
      <c r="H292" s="3">
        <v>5</v>
      </c>
      <c r="I292" s="2">
        <v>5</v>
      </c>
      <c r="J292" s="4" t="s">
        <v>34</v>
      </c>
      <c r="K292" s="5">
        <v>80</v>
      </c>
      <c r="L292" s="5">
        <v>80</v>
      </c>
      <c r="M292" s="5">
        <v>80</v>
      </c>
      <c r="N292" s="8">
        <v>10</v>
      </c>
      <c r="O292" s="3" t="s">
        <v>35</v>
      </c>
      <c r="P292" s="30" t="s">
        <v>421</v>
      </c>
      <c r="Q292" s="1" t="s">
        <v>422</v>
      </c>
      <c r="R292" s="63" t="s">
        <v>72</v>
      </c>
      <c r="S292" s="64" t="s">
        <v>73</v>
      </c>
      <c r="T292" s="63" t="s">
        <v>276</v>
      </c>
      <c r="U292" s="64" t="s">
        <v>165</v>
      </c>
      <c r="X292" s="63" t="s">
        <v>626</v>
      </c>
      <c r="Y292" s="64" t="s">
        <v>39</v>
      </c>
    </row>
    <row r="293" spans="1:28" ht="13.5">
      <c r="A293" s="2" t="s">
        <v>844</v>
      </c>
      <c r="B293" s="4" t="s">
        <v>29</v>
      </c>
      <c r="C293" s="7" t="s">
        <v>769</v>
      </c>
      <c r="D293" s="41" t="s">
        <v>845</v>
      </c>
      <c r="E293" s="10">
        <v>398</v>
      </c>
      <c r="G293" s="4" t="s">
        <v>745</v>
      </c>
      <c r="H293" s="3">
        <v>7</v>
      </c>
      <c r="I293" s="3">
        <v>4</v>
      </c>
      <c r="J293" s="4" t="s">
        <v>34</v>
      </c>
      <c r="K293" s="5">
        <v>64</v>
      </c>
      <c r="L293" s="5">
        <v>64</v>
      </c>
      <c r="M293" s="5">
        <v>80</v>
      </c>
      <c r="N293" s="8">
        <v>9</v>
      </c>
      <c r="O293" s="3" t="s">
        <v>35</v>
      </c>
      <c r="P293" s="1" t="s">
        <v>846</v>
      </c>
      <c r="Q293" s="1" t="s">
        <v>847</v>
      </c>
      <c r="T293" s="63" t="s">
        <v>559</v>
      </c>
      <c r="U293" s="64" t="s">
        <v>216</v>
      </c>
      <c r="X293" s="63" t="s">
        <v>559</v>
      </c>
      <c r="Y293" s="64" t="s">
        <v>216</v>
      </c>
    </row>
    <row r="294" spans="1:28" ht="13.5">
      <c r="A294" s="2" t="s">
        <v>848</v>
      </c>
      <c r="B294" s="4" t="s">
        <v>29</v>
      </c>
      <c r="C294" s="1" t="s">
        <v>769</v>
      </c>
      <c r="D294" s="9" t="s">
        <v>849</v>
      </c>
      <c r="E294" s="10">
        <v>399</v>
      </c>
      <c r="F294" s="3">
        <v>1</v>
      </c>
      <c r="G294" s="4" t="s">
        <v>133</v>
      </c>
      <c r="H294" s="3">
        <v>5</v>
      </c>
      <c r="I294" s="2">
        <v>2</v>
      </c>
      <c r="J294" s="4" t="s">
        <v>34</v>
      </c>
      <c r="K294" s="5">
        <v>32</v>
      </c>
      <c r="L294" s="5">
        <v>32</v>
      </c>
      <c r="M294" s="5">
        <v>32</v>
      </c>
      <c r="N294" s="8">
        <v>4</v>
      </c>
      <c r="O294" s="3" t="s">
        <v>35</v>
      </c>
      <c r="P294" s="30" t="s">
        <v>262</v>
      </c>
      <c r="Q294" s="1" t="s">
        <v>263</v>
      </c>
      <c r="V294" s="63" t="s">
        <v>55</v>
      </c>
      <c r="W294" s="64" t="s">
        <v>408</v>
      </c>
    </row>
    <row r="295" spans="1:28" ht="27">
      <c r="A295" s="2" t="s">
        <v>850</v>
      </c>
      <c r="B295" s="4" t="s">
        <v>29</v>
      </c>
      <c r="C295" s="1" t="s">
        <v>769</v>
      </c>
      <c r="D295" s="9" t="s">
        <v>851</v>
      </c>
      <c r="E295" s="10">
        <v>400</v>
      </c>
      <c r="F295" s="3">
        <v>2</v>
      </c>
      <c r="G295" s="4" t="s">
        <v>133</v>
      </c>
      <c r="H295" s="3">
        <v>5</v>
      </c>
      <c r="I295" s="18">
        <v>4.5</v>
      </c>
      <c r="J295" s="4" t="s">
        <v>34</v>
      </c>
      <c r="K295" s="5">
        <v>72</v>
      </c>
      <c r="L295" s="5">
        <v>72</v>
      </c>
      <c r="M295" s="5">
        <v>56</v>
      </c>
      <c r="N295" s="8">
        <v>8</v>
      </c>
      <c r="O295" s="3" t="s">
        <v>35</v>
      </c>
      <c r="P295" s="30" t="s">
        <v>679</v>
      </c>
      <c r="Q295" s="1" t="s">
        <v>680</v>
      </c>
      <c r="T295" s="63" t="s">
        <v>276</v>
      </c>
      <c r="U295" s="64" t="s">
        <v>341</v>
      </c>
      <c r="V295" s="63" t="s">
        <v>123</v>
      </c>
      <c r="W295" s="64" t="s">
        <v>341</v>
      </c>
      <c r="Z295" s="2" t="s">
        <v>123</v>
      </c>
      <c r="AA295" s="2" t="s">
        <v>341</v>
      </c>
      <c r="AB295" s="71"/>
    </row>
    <row r="296" spans="1:28" ht="12.75">
      <c r="A296" s="2" t="s">
        <v>852</v>
      </c>
      <c r="B296" s="3" t="s">
        <v>29</v>
      </c>
      <c r="C296" s="1" t="s">
        <v>769</v>
      </c>
      <c r="D296" s="46" t="s">
        <v>853</v>
      </c>
      <c r="E296" s="10">
        <v>401</v>
      </c>
      <c r="F296" s="3">
        <v>1</v>
      </c>
      <c r="G296" s="4" t="s">
        <v>44</v>
      </c>
      <c r="H296" s="3">
        <v>7</v>
      </c>
      <c r="I296" s="2">
        <v>4</v>
      </c>
      <c r="J296" s="4" t="s">
        <v>34</v>
      </c>
      <c r="K296" s="5">
        <v>64</v>
      </c>
      <c r="L296" s="5">
        <v>64</v>
      </c>
      <c r="M296" s="5">
        <v>80</v>
      </c>
      <c r="N296" s="8">
        <v>9</v>
      </c>
      <c r="P296" s="1" t="s">
        <v>854</v>
      </c>
      <c r="Q296" s="1" t="s">
        <v>855</v>
      </c>
      <c r="R296" s="63" t="s">
        <v>47</v>
      </c>
      <c r="S296" s="2" t="s">
        <v>856</v>
      </c>
      <c r="Z296" s="63" t="s">
        <v>411</v>
      </c>
      <c r="AA296" s="2" t="s">
        <v>856</v>
      </c>
    </row>
    <row r="297" spans="1:28" ht="27">
      <c r="A297" s="2" t="s">
        <v>857</v>
      </c>
      <c r="B297" s="4" t="s">
        <v>29</v>
      </c>
      <c r="C297" s="1" t="s">
        <v>769</v>
      </c>
      <c r="D297" s="9" t="s">
        <v>858</v>
      </c>
      <c r="E297" s="10">
        <v>402</v>
      </c>
      <c r="F297" s="3">
        <v>3</v>
      </c>
      <c r="G297" s="4" t="s">
        <v>133</v>
      </c>
      <c r="H297" s="3">
        <v>5</v>
      </c>
      <c r="I297" s="2">
        <v>4.5</v>
      </c>
      <c r="J297" s="4" t="s">
        <v>34</v>
      </c>
      <c r="K297" s="5">
        <v>72</v>
      </c>
      <c r="L297" s="5">
        <v>72</v>
      </c>
      <c r="M297" s="5">
        <v>88</v>
      </c>
      <c r="N297" s="8">
        <v>10</v>
      </c>
      <c r="O297" s="3" t="s">
        <v>35</v>
      </c>
      <c r="P297" s="30" t="s">
        <v>566</v>
      </c>
      <c r="Q297" s="1" t="s">
        <v>567</v>
      </c>
      <c r="V297" s="63" t="s">
        <v>859</v>
      </c>
      <c r="W297" s="64" t="s">
        <v>341</v>
      </c>
      <c r="X297" s="63" t="s">
        <v>268</v>
      </c>
      <c r="Y297" s="64" t="s">
        <v>341</v>
      </c>
    </row>
    <row r="298" spans="1:28" ht="13.5">
      <c r="A298" s="2" t="s">
        <v>860</v>
      </c>
      <c r="B298" s="4" t="s">
        <v>29</v>
      </c>
      <c r="C298" s="1" t="s">
        <v>769</v>
      </c>
      <c r="D298" s="9" t="s">
        <v>861</v>
      </c>
      <c r="E298" s="10">
        <v>403</v>
      </c>
      <c r="G298" s="4" t="s">
        <v>796</v>
      </c>
      <c r="H298" s="3" t="s">
        <v>862</v>
      </c>
      <c r="I298" s="2">
        <v>4.5</v>
      </c>
      <c r="J298" s="4" t="s">
        <v>34</v>
      </c>
      <c r="K298" s="5">
        <v>72</v>
      </c>
      <c r="L298" s="5">
        <v>72</v>
      </c>
      <c r="M298" s="5">
        <v>72</v>
      </c>
      <c r="N298" s="8">
        <v>9</v>
      </c>
      <c r="O298" s="3" t="s">
        <v>863</v>
      </c>
      <c r="P298" s="30" t="s">
        <v>138</v>
      </c>
      <c r="Q298" s="1" t="s">
        <v>139</v>
      </c>
      <c r="R298" s="63" t="s">
        <v>161</v>
      </c>
      <c r="S298" s="64" t="s">
        <v>39</v>
      </c>
      <c r="X298" s="63" t="s">
        <v>210</v>
      </c>
      <c r="Y298" s="64" t="s">
        <v>56</v>
      </c>
      <c r="Z298" s="63" t="s">
        <v>109</v>
      </c>
      <c r="AA298" s="64" t="s">
        <v>56</v>
      </c>
      <c r="AB298" s="71"/>
    </row>
    <row r="299" spans="1:28" ht="22.5">
      <c r="A299" s="2" t="s">
        <v>864</v>
      </c>
      <c r="B299" s="4" t="s">
        <v>29</v>
      </c>
      <c r="C299" s="7" t="s">
        <v>769</v>
      </c>
      <c r="D299" s="4" t="s">
        <v>865</v>
      </c>
      <c r="E299" s="10">
        <v>404</v>
      </c>
      <c r="F299" s="4"/>
      <c r="G299" s="4" t="s">
        <v>866</v>
      </c>
      <c r="H299" s="47" t="s">
        <v>867</v>
      </c>
      <c r="I299" s="3">
        <v>4</v>
      </c>
      <c r="J299" s="4" t="s">
        <v>34</v>
      </c>
      <c r="K299" s="5">
        <v>64</v>
      </c>
      <c r="L299" s="5">
        <v>64</v>
      </c>
      <c r="M299" s="5">
        <v>48</v>
      </c>
      <c r="N299" s="8">
        <v>7</v>
      </c>
      <c r="O299" s="3" t="s">
        <v>35</v>
      </c>
      <c r="P299" s="7" t="s">
        <v>527</v>
      </c>
      <c r="Q299" s="7" t="s">
        <v>528</v>
      </c>
      <c r="T299" s="63" t="s">
        <v>414</v>
      </c>
      <c r="U299" s="64" t="s">
        <v>50</v>
      </c>
      <c r="Z299" s="63" t="s">
        <v>55</v>
      </c>
      <c r="AA299" s="64" t="s">
        <v>118</v>
      </c>
    </row>
    <row r="300" spans="1:28" ht="12.75">
      <c r="A300" s="2" t="s">
        <v>868</v>
      </c>
      <c r="B300" s="4" t="s">
        <v>29</v>
      </c>
      <c r="C300" s="7" t="s">
        <v>769</v>
      </c>
      <c r="D300" s="43" t="s">
        <v>869</v>
      </c>
      <c r="E300" s="10">
        <v>455</v>
      </c>
      <c r="G300" s="4" t="s">
        <v>44</v>
      </c>
      <c r="H300" s="3">
        <v>6</v>
      </c>
      <c r="I300" s="3">
        <v>4</v>
      </c>
      <c r="J300" s="4" t="s">
        <v>34</v>
      </c>
      <c r="K300" s="5">
        <v>64</v>
      </c>
      <c r="L300" s="5">
        <v>56</v>
      </c>
      <c r="M300" s="5">
        <v>80</v>
      </c>
      <c r="N300" s="8">
        <v>9</v>
      </c>
      <c r="O300" s="3" t="s">
        <v>35</v>
      </c>
      <c r="P300" s="48" t="s">
        <v>870</v>
      </c>
      <c r="Q300" s="1" t="s">
        <v>871</v>
      </c>
      <c r="V300" s="63" t="s">
        <v>272</v>
      </c>
      <c r="W300" s="2" t="s">
        <v>856</v>
      </c>
      <c r="X300" s="63" t="s">
        <v>559</v>
      </c>
      <c r="Y300" s="2" t="s">
        <v>856</v>
      </c>
      <c r="AB300" s="71"/>
    </row>
    <row r="301" spans="1:28" ht="13.5">
      <c r="A301" s="2" t="s">
        <v>872</v>
      </c>
      <c r="B301" s="4" t="s">
        <v>29</v>
      </c>
      <c r="C301" s="1" t="s">
        <v>769</v>
      </c>
      <c r="D301" s="9" t="s">
        <v>873</v>
      </c>
      <c r="E301" s="10">
        <v>456</v>
      </c>
      <c r="G301" s="4" t="s">
        <v>144</v>
      </c>
      <c r="H301" s="3">
        <v>5</v>
      </c>
      <c r="I301" s="2">
        <v>4.5</v>
      </c>
      <c r="J301" s="4" t="s">
        <v>874</v>
      </c>
      <c r="K301" s="5">
        <v>67.5</v>
      </c>
      <c r="N301" s="8">
        <v>9</v>
      </c>
      <c r="O301" s="3" t="s">
        <v>875</v>
      </c>
      <c r="P301" s="30" t="s">
        <v>480</v>
      </c>
      <c r="Q301" s="1" t="s">
        <v>481</v>
      </c>
      <c r="R301" s="63" t="s">
        <v>72</v>
      </c>
      <c r="S301" s="64" t="s">
        <v>64</v>
      </c>
      <c r="T301" s="63" t="s">
        <v>276</v>
      </c>
      <c r="U301" s="64" t="s">
        <v>39</v>
      </c>
      <c r="X301" s="63" t="s">
        <v>268</v>
      </c>
      <c r="Y301" s="64" t="s">
        <v>111</v>
      </c>
    </row>
    <row r="302" spans="1:28" ht="33">
      <c r="A302" s="2" t="s">
        <v>876</v>
      </c>
      <c r="B302" s="3" t="s">
        <v>29</v>
      </c>
      <c r="C302" s="1" t="s">
        <v>30</v>
      </c>
      <c r="D302" s="9" t="s">
        <v>877</v>
      </c>
      <c r="E302" s="10">
        <v>457</v>
      </c>
      <c r="G302" s="4" t="s">
        <v>32</v>
      </c>
      <c r="H302" s="4" t="s">
        <v>33</v>
      </c>
      <c r="I302" s="2">
        <v>3.5</v>
      </c>
      <c r="J302" s="4" t="s">
        <v>34</v>
      </c>
      <c r="K302" s="5">
        <v>56</v>
      </c>
      <c r="L302" s="5">
        <v>40</v>
      </c>
      <c r="N302" s="8">
        <v>6</v>
      </c>
      <c r="O302" s="3" t="s">
        <v>878</v>
      </c>
      <c r="P302" s="1" t="s">
        <v>36</v>
      </c>
      <c r="Q302" s="1" t="s">
        <v>37</v>
      </c>
      <c r="T302" s="63" t="s">
        <v>38</v>
      </c>
      <c r="U302" s="64" t="s">
        <v>172</v>
      </c>
      <c r="X302" s="63" t="s">
        <v>276</v>
      </c>
      <c r="Y302" s="64" t="s">
        <v>162</v>
      </c>
    </row>
    <row r="303" spans="1:28" ht="13.5">
      <c r="A303" s="2" t="s">
        <v>879</v>
      </c>
      <c r="B303" s="3" t="s">
        <v>29</v>
      </c>
      <c r="C303" s="1" t="s">
        <v>880</v>
      </c>
      <c r="D303" s="7" t="s">
        <v>880</v>
      </c>
      <c r="E303" s="7">
        <v>700</v>
      </c>
      <c r="F303" s="3">
        <v>1</v>
      </c>
      <c r="G303" s="4" t="s">
        <v>881</v>
      </c>
      <c r="I303" s="3">
        <v>3</v>
      </c>
      <c r="P303" s="1" t="s">
        <v>882</v>
      </c>
      <c r="Q303" s="1" t="s">
        <v>883</v>
      </c>
      <c r="T303" s="63" t="s">
        <v>123</v>
      </c>
      <c r="U303" s="64" t="s">
        <v>39</v>
      </c>
      <c r="X303" s="63" t="s">
        <v>123</v>
      </c>
      <c r="Y303" s="64" t="s">
        <v>83</v>
      </c>
    </row>
    <row r="304" spans="1:28" ht="13.5">
      <c r="A304" s="2" t="s">
        <v>884</v>
      </c>
      <c r="B304" s="3" t="s">
        <v>29</v>
      </c>
      <c r="C304" s="1" t="s">
        <v>880</v>
      </c>
      <c r="D304" s="7" t="s">
        <v>880</v>
      </c>
      <c r="E304" s="7">
        <v>700</v>
      </c>
      <c r="F304" s="3">
        <v>1</v>
      </c>
      <c r="G304" s="4" t="s">
        <v>881</v>
      </c>
      <c r="I304" s="3">
        <v>3</v>
      </c>
      <c r="P304" s="1" t="s">
        <v>882</v>
      </c>
      <c r="Q304" s="1" t="s">
        <v>883</v>
      </c>
      <c r="R304" s="63" t="s">
        <v>123</v>
      </c>
      <c r="S304" s="64" t="s">
        <v>97</v>
      </c>
      <c r="V304" s="63" t="s">
        <v>123</v>
      </c>
      <c r="W304" s="64" t="s">
        <v>110</v>
      </c>
    </row>
    <row r="305" spans="1:27" ht="33">
      <c r="A305" s="2" t="s">
        <v>885</v>
      </c>
      <c r="B305" s="4" t="s">
        <v>29</v>
      </c>
      <c r="C305" s="1" t="s">
        <v>30</v>
      </c>
      <c r="D305" s="7" t="s">
        <v>886</v>
      </c>
      <c r="E305" s="7">
        <v>460</v>
      </c>
      <c r="G305" s="4" t="s">
        <v>887</v>
      </c>
      <c r="H305" s="3" t="s">
        <v>888</v>
      </c>
      <c r="I305" s="3">
        <v>3</v>
      </c>
      <c r="K305" s="5">
        <v>48</v>
      </c>
      <c r="M305" s="5">
        <v>48</v>
      </c>
      <c r="N305" s="8">
        <v>6</v>
      </c>
      <c r="P305" s="1" t="s">
        <v>213</v>
      </c>
      <c r="Q305" s="1" t="s">
        <v>721</v>
      </c>
      <c r="V305" s="63" t="s">
        <v>276</v>
      </c>
      <c r="W305" s="64" t="s">
        <v>162</v>
      </c>
      <c r="Z305" s="63" t="s">
        <v>276</v>
      </c>
      <c r="AA305" s="64" t="s">
        <v>160</v>
      </c>
    </row>
    <row r="306" spans="1:27" ht="13.5">
      <c r="A306" s="2" t="s">
        <v>889</v>
      </c>
      <c r="B306" s="4" t="s">
        <v>29</v>
      </c>
      <c r="C306" s="49" t="s">
        <v>42</v>
      </c>
      <c r="D306" s="50" t="s">
        <v>890</v>
      </c>
      <c r="E306" s="7">
        <v>500</v>
      </c>
      <c r="G306" s="49" t="s">
        <v>891</v>
      </c>
      <c r="H306" s="49">
        <v>1</v>
      </c>
      <c r="I306" s="51">
        <v>4</v>
      </c>
      <c r="J306" s="49" t="s">
        <v>34</v>
      </c>
      <c r="K306" s="49">
        <v>60</v>
      </c>
      <c r="N306" s="49">
        <v>10</v>
      </c>
      <c r="O306" s="49" t="s">
        <v>35</v>
      </c>
      <c r="P306" s="50" t="s">
        <v>235</v>
      </c>
      <c r="Q306" s="50" t="s">
        <v>236</v>
      </c>
      <c r="T306" s="63" t="s">
        <v>140</v>
      </c>
      <c r="U306" s="64" t="s">
        <v>153</v>
      </c>
      <c r="Z306" s="63" t="s">
        <v>290</v>
      </c>
      <c r="AA306" s="64" t="s">
        <v>83</v>
      </c>
    </row>
    <row r="307" spans="1:27" ht="13.5">
      <c r="A307" s="2" t="s">
        <v>892</v>
      </c>
      <c r="B307" s="4" t="s">
        <v>29</v>
      </c>
      <c r="C307" s="49" t="s">
        <v>42</v>
      </c>
      <c r="D307" s="50" t="s">
        <v>893</v>
      </c>
      <c r="E307" s="7">
        <v>501</v>
      </c>
      <c r="G307" s="49" t="s">
        <v>891</v>
      </c>
      <c r="H307" s="49">
        <v>1</v>
      </c>
      <c r="I307" s="51">
        <v>4</v>
      </c>
      <c r="J307" s="49" t="s">
        <v>34</v>
      </c>
      <c r="K307" s="49">
        <v>60</v>
      </c>
      <c r="N307" s="49">
        <v>10</v>
      </c>
      <c r="O307" s="49" t="s">
        <v>35</v>
      </c>
      <c r="P307" s="50" t="s">
        <v>894</v>
      </c>
      <c r="Q307" s="50" t="s">
        <v>81</v>
      </c>
      <c r="T307" s="63" t="s">
        <v>38</v>
      </c>
      <c r="U307" s="64" t="s">
        <v>111</v>
      </c>
      <c r="X307" s="63" t="s">
        <v>198</v>
      </c>
      <c r="Y307" s="64" t="s">
        <v>153</v>
      </c>
    </row>
    <row r="308" spans="1:27" ht="13.5">
      <c r="A308" s="2" t="s">
        <v>895</v>
      </c>
      <c r="B308" s="4" t="s">
        <v>29</v>
      </c>
      <c r="C308" s="49" t="s">
        <v>42</v>
      </c>
      <c r="D308" s="50" t="s">
        <v>896</v>
      </c>
      <c r="E308" s="7">
        <v>502</v>
      </c>
      <c r="G308" s="49" t="s">
        <v>891</v>
      </c>
      <c r="H308" s="49">
        <v>1</v>
      </c>
      <c r="I308" s="51">
        <v>4</v>
      </c>
      <c r="J308" s="49" t="s">
        <v>34</v>
      </c>
      <c r="K308" s="49">
        <v>60</v>
      </c>
      <c r="N308" s="49">
        <v>10</v>
      </c>
      <c r="O308" s="49" t="s">
        <v>35</v>
      </c>
      <c r="P308" s="50" t="s">
        <v>231</v>
      </c>
      <c r="Q308" s="50" t="s">
        <v>232</v>
      </c>
      <c r="T308" s="63" t="s">
        <v>411</v>
      </c>
      <c r="U308" s="64" t="s">
        <v>62</v>
      </c>
      <c r="Z308" s="63" t="s">
        <v>96</v>
      </c>
      <c r="AA308" s="64" t="s">
        <v>408</v>
      </c>
    </row>
    <row r="309" spans="1:27" ht="13.5">
      <c r="A309" s="2" t="s">
        <v>897</v>
      </c>
      <c r="B309" s="4" t="s">
        <v>29</v>
      </c>
      <c r="C309" s="49" t="s">
        <v>42</v>
      </c>
      <c r="D309" s="50" t="s">
        <v>898</v>
      </c>
      <c r="E309" s="7">
        <v>503</v>
      </c>
      <c r="G309" s="49" t="s">
        <v>891</v>
      </c>
      <c r="H309" s="49">
        <v>1</v>
      </c>
      <c r="I309" s="51">
        <v>4</v>
      </c>
      <c r="J309" s="49" t="s">
        <v>34</v>
      </c>
      <c r="K309" s="49">
        <v>60</v>
      </c>
      <c r="N309" s="49">
        <v>10</v>
      </c>
      <c r="O309" s="49" t="s">
        <v>35</v>
      </c>
      <c r="P309" s="50" t="s">
        <v>759</v>
      </c>
      <c r="Q309" s="50" t="s">
        <v>760</v>
      </c>
      <c r="T309" s="63" t="s">
        <v>173</v>
      </c>
      <c r="U309" s="64" t="s">
        <v>153</v>
      </c>
      <c r="X309" s="63" t="s">
        <v>258</v>
      </c>
      <c r="Y309" s="64" t="s">
        <v>172</v>
      </c>
    </row>
    <row r="310" spans="1:27" ht="13.5">
      <c r="A310" s="2" t="s">
        <v>899</v>
      </c>
      <c r="B310" s="4" t="s">
        <v>29</v>
      </c>
      <c r="C310" s="49" t="s">
        <v>42</v>
      </c>
      <c r="D310" s="53" t="s">
        <v>900</v>
      </c>
      <c r="E310" s="7">
        <v>504</v>
      </c>
      <c r="G310" s="49" t="s">
        <v>891</v>
      </c>
      <c r="H310" s="49">
        <v>1</v>
      </c>
      <c r="I310" s="51">
        <v>4</v>
      </c>
      <c r="J310" s="49" t="s">
        <v>34</v>
      </c>
      <c r="K310" s="49">
        <v>60</v>
      </c>
      <c r="N310" s="49">
        <v>10</v>
      </c>
      <c r="O310" s="49" t="s">
        <v>35</v>
      </c>
      <c r="P310" s="50" t="s">
        <v>802</v>
      </c>
      <c r="Q310" s="50" t="s">
        <v>803</v>
      </c>
      <c r="V310" s="63" t="s">
        <v>173</v>
      </c>
      <c r="W310" s="64" t="s">
        <v>153</v>
      </c>
      <c r="Z310" s="63" t="s">
        <v>49</v>
      </c>
      <c r="AA310" s="64" t="s">
        <v>153</v>
      </c>
    </row>
    <row r="311" spans="1:27" ht="13.5">
      <c r="A311" s="2" t="s">
        <v>901</v>
      </c>
      <c r="B311" s="4" t="s">
        <v>29</v>
      </c>
      <c r="C311" s="49" t="s">
        <v>42</v>
      </c>
      <c r="D311" s="53" t="s">
        <v>902</v>
      </c>
      <c r="E311" s="7">
        <v>505</v>
      </c>
      <c r="G311" s="49" t="s">
        <v>891</v>
      </c>
      <c r="H311" s="49">
        <v>1</v>
      </c>
      <c r="I311" s="51">
        <v>4</v>
      </c>
      <c r="J311" s="49" t="s">
        <v>34</v>
      </c>
      <c r="K311" s="49">
        <v>60</v>
      </c>
      <c r="N311" s="49">
        <v>10</v>
      </c>
      <c r="O311" s="49" t="s">
        <v>35</v>
      </c>
      <c r="P311" s="50" t="s">
        <v>527</v>
      </c>
      <c r="Q311" s="50" t="s">
        <v>528</v>
      </c>
      <c r="R311" s="63" t="s">
        <v>49</v>
      </c>
      <c r="S311" s="64" t="s">
        <v>332</v>
      </c>
      <c r="V311" s="63" t="s">
        <v>258</v>
      </c>
      <c r="W311" s="64" t="s">
        <v>153</v>
      </c>
    </row>
    <row r="312" spans="1:27" ht="13.5">
      <c r="A312" s="2" t="s">
        <v>903</v>
      </c>
      <c r="B312" s="4" t="s">
        <v>29</v>
      </c>
      <c r="C312" s="49" t="s">
        <v>42</v>
      </c>
      <c r="D312" s="54" t="s">
        <v>904</v>
      </c>
      <c r="E312" s="7">
        <v>506</v>
      </c>
      <c r="G312" s="49" t="s">
        <v>891</v>
      </c>
      <c r="H312" s="49">
        <v>3</v>
      </c>
      <c r="I312" s="51">
        <v>4</v>
      </c>
      <c r="J312" s="49" t="s">
        <v>34</v>
      </c>
      <c r="K312" s="49">
        <v>60</v>
      </c>
      <c r="N312" s="49">
        <v>20</v>
      </c>
      <c r="O312" s="49" t="s">
        <v>35</v>
      </c>
      <c r="P312" s="55" t="s">
        <v>905</v>
      </c>
      <c r="Q312" s="50" t="s">
        <v>906</v>
      </c>
    </row>
    <row r="313" spans="1:27" ht="27">
      <c r="A313" s="2" t="s">
        <v>907</v>
      </c>
      <c r="B313" s="4" t="s">
        <v>29</v>
      </c>
      <c r="C313" s="49" t="s">
        <v>42</v>
      </c>
      <c r="D313" s="54" t="s">
        <v>908</v>
      </c>
      <c r="E313" s="7">
        <v>507</v>
      </c>
      <c r="G313" s="49" t="s">
        <v>891</v>
      </c>
      <c r="H313" s="49">
        <v>3</v>
      </c>
      <c r="I313" s="51">
        <v>4</v>
      </c>
      <c r="J313" s="49" t="s">
        <v>34</v>
      </c>
      <c r="K313" s="49">
        <v>60</v>
      </c>
      <c r="N313" s="49">
        <v>20</v>
      </c>
      <c r="O313" s="49" t="s">
        <v>35</v>
      </c>
      <c r="P313" s="50" t="s">
        <v>80</v>
      </c>
      <c r="Q313" s="50" t="s">
        <v>81</v>
      </c>
    </row>
    <row r="314" spans="1:27" ht="27">
      <c r="A314" s="2" t="s">
        <v>909</v>
      </c>
      <c r="B314" s="4" t="s">
        <v>29</v>
      </c>
      <c r="C314" s="49" t="s">
        <v>42</v>
      </c>
      <c r="D314" s="54" t="s">
        <v>910</v>
      </c>
      <c r="E314" s="7">
        <v>508</v>
      </c>
      <c r="G314" s="49" t="s">
        <v>891</v>
      </c>
      <c r="H314" s="49">
        <v>3</v>
      </c>
      <c r="I314" s="51">
        <v>4</v>
      </c>
      <c r="J314" s="49" t="s">
        <v>34</v>
      </c>
      <c r="K314" s="49">
        <v>60</v>
      </c>
      <c r="N314" s="49">
        <v>20</v>
      </c>
      <c r="O314" s="49" t="s">
        <v>35</v>
      </c>
      <c r="P314" s="50" t="s">
        <v>911</v>
      </c>
      <c r="Q314" s="50" t="s">
        <v>912</v>
      </c>
      <c r="T314" s="63" t="s">
        <v>38</v>
      </c>
      <c r="U314" s="64" t="s">
        <v>153</v>
      </c>
      <c r="X314" s="63" t="s">
        <v>38</v>
      </c>
      <c r="Y314" s="64" t="s">
        <v>153</v>
      </c>
    </row>
    <row r="315" spans="1:27" ht="13.5">
      <c r="A315" s="2" t="s">
        <v>913</v>
      </c>
      <c r="B315" s="4" t="s">
        <v>29</v>
      </c>
      <c r="C315" s="49" t="s">
        <v>42</v>
      </c>
      <c r="D315" s="54" t="s">
        <v>914</v>
      </c>
      <c r="E315" s="7">
        <v>509</v>
      </c>
      <c r="G315" s="49" t="s">
        <v>891</v>
      </c>
      <c r="H315" s="49">
        <v>3</v>
      </c>
      <c r="I315" s="51">
        <v>4</v>
      </c>
      <c r="J315" s="49" t="s">
        <v>34</v>
      </c>
      <c r="K315" s="49">
        <v>60</v>
      </c>
      <c r="N315" s="49">
        <v>20</v>
      </c>
      <c r="O315" s="49" t="s">
        <v>35</v>
      </c>
      <c r="P315" s="50" t="s">
        <v>167</v>
      </c>
      <c r="Q315" s="50" t="s">
        <v>168</v>
      </c>
    </row>
    <row r="316" spans="1:27" ht="27">
      <c r="A316" s="2" t="s">
        <v>915</v>
      </c>
      <c r="B316" s="4" t="s">
        <v>29</v>
      </c>
      <c r="C316" s="49" t="s">
        <v>42</v>
      </c>
      <c r="D316" s="54" t="s">
        <v>916</v>
      </c>
      <c r="E316" s="7">
        <v>510</v>
      </c>
      <c r="G316" s="49" t="s">
        <v>891</v>
      </c>
      <c r="H316" s="49">
        <v>3</v>
      </c>
      <c r="I316" s="51">
        <v>4</v>
      </c>
      <c r="J316" s="49" t="s">
        <v>34</v>
      </c>
      <c r="K316" s="49">
        <v>60</v>
      </c>
      <c r="N316" s="49">
        <v>20</v>
      </c>
      <c r="O316" s="49" t="s">
        <v>35</v>
      </c>
      <c r="P316" s="55" t="s">
        <v>917</v>
      </c>
      <c r="Q316" s="50" t="s">
        <v>918</v>
      </c>
    </row>
    <row r="317" spans="1:27" ht="13.5">
      <c r="A317" s="2" t="s">
        <v>919</v>
      </c>
      <c r="B317" s="4" t="s">
        <v>29</v>
      </c>
      <c r="C317" s="49" t="s">
        <v>769</v>
      </c>
      <c r="D317" s="50" t="s">
        <v>920</v>
      </c>
      <c r="E317" s="7">
        <v>511</v>
      </c>
      <c r="F317" s="3">
        <v>1</v>
      </c>
      <c r="G317" s="49" t="s">
        <v>891</v>
      </c>
      <c r="H317" s="49">
        <v>3</v>
      </c>
      <c r="I317" s="51">
        <v>4</v>
      </c>
      <c r="J317" s="49" t="s">
        <v>34</v>
      </c>
      <c r="K317" s="49">
        <v>60</v>
      </c>
      <c r="N317" s="49">
        <v>10</v>
      </c>
      <c r="O317" s="49" t="s">
        <v>35</v>
      </c>
      <c r="P317" s="50" t="s">
        <v>157</v>
      </c>
      <c r="Q317" s="50" t="s">
        <v>158</v>
      </c>
      <c r="R317" s="63" t="s">
        <v>141</v>
      </c>
      <c r="S317" s="64" t="s">
        <v>97</v>
      </c>
      <c r="Z317" s="63" t="s">
        <v>411</v>
      </c>
      <c r="AA317" s="64" t="s">
        <v>160</v>
      </c>
    </row>
    <row r="318" spans="1:27" ht="13.5">
      <c r="A318" s="2" t="s">
        <v>921</v>
      </c>
      <c r="B318" s="4" t="s">
        <v>29</v>
      </c>
      <c r="C318" s="49" t="s">
        <v>769</v>
      </c>
      <c r="D318" s="50" t="s">
        <v>922</v>
      </c>
      <c r="E318" s="7">
        <v>512</v>
      </c>
      <c r="F318" s="3">
        <v>2</v>
      </c>
      <c r="G318" s="49" t="s">
        <v>891</v>
      </c>
      <c r="H318" s="49">
        <v>3</v>
      </c>
      <c r="I318" s="51">
        <v>4</v>
      </c>
      <c r="J318" s="49" t="s">
        <v>34</v>
      </c>
      <c r="K318" s="49">
        <v>60</v>
      </c>
      <c r="N318" s="49">
        <v>10</v>
      </c>
      <c r="O318" s="49" t="s">
        <v>35</v>
      </c>
      <c r="P318" s="50" t="s">
        <v>923</v>
      </c>
      <c r="Q318" s="50" t="s">
        <v>912</v>
      </c>
      <c r="R318" s="63" t="s">
        <v>38</v>
      </c>
      <c r="S318" s="64" t="s">
        <v>153</v>
      </c>
      <c r="Z318" s="63" t="s">
        <v>38</v>
      </c>
      <c r="AA318" s="64" t="s">
        <v>153</v>
      </c>
    </row>
    <row r="319" spans="1:27" ht="13.5">
      <c r="A319" s="2" t="s">
        <v>924</v>
      </c>
      <c r="B319" s="4" t="s">
        <v>29</v>
      </c>
      <c r="C319" s="49" t="s">
        <v>769</v>
      </c>
      <c r="D319" s="50" t="s">
        <v>925</v>
      </c>
      <c r="E319" s="7">
        <v>513</v>
      </c>
      <c r="F319" s="2">
        <v>3</v>
      </c>
      <c r="G319" s="49" t="s">
        <v>891</v>
      </c>
      <c r="H319" s="49">
        <v>3</v>
      </c>
      <c r="I319" s="51">
        <v>4</v>
      </c>
      <c r="J319" s="49" t="s">
        <v>34</v>
      </c>
      <c r="K319" s="49">
        <v>60</v>
      </c>
      <c r="L319" s="2"/>
      <c r="M319" s="2"/>
      <c r="N319" s="49">
        <v>10</v>
      </c>
      <c r="O319" s="49" t="s">
        <v>35</v>
      </c>
      <c r="P319" s="50" t="s">
        <v>383</v>
      </c>
      <c r="Q319" s="50" t="s">
        <v>487</v>
      </c>
      <c r="R319" s="63" t="s">
        <v>482</v>
      </c>
      <c r="S319" s="64" t="s">
        <v>153</v>
      </c>
      <c r="X319" s="63" t="s">
        <v>102</v>
      </c>
      <c r="Y319" s="64" t="s">
        <v>153</v>
      </c>
    </row>
    <row r="320" spans="1:27" ht="13.5">
      <c r="A320" s="2" t="s">
        <v>926</v>
      </c>
      <c r="B320" s="4" t="s">
        <v>29</v>
      </c>
      <c r="C320" s="49" t="s">
        <v>769</v>
      </c>
      <c r="D320" s="50" t="s">
        <v>927</v>
      </c>
      <c r="E320" s="7">
        <v>514</v>
      </c>
      <c r="F320" s="2">
        <v>4</v>
      </c>
      <c r="G320" s="49" t="s">
        <v>891</v>
      </c>
      <c r="H320" s="49">
        <v>3</v>
      </c>
      <c r="I320" s="51">
        <v>4</v>
      </c>
      <c r="J320" s="49" t="s">
        <v>34</v>
      </c>
      <c r="K320" s="49">
        <v>60</v>
      </c>
      <c r="L320" s="2"/>
      <c r="M320" s="2"/>
      <c r="N320" s="49">
        <v>10</v>
      </c>
      <c r="O320" s="49" t="s">
        <v>35</v>
      </c>
      <c r="P320" s="50" t="s">
        <v>759</v>
      </c>
      <c r="Q320" s="50" t="s">
        <v>760</v>
      </c>
      <c r="T320" s="63" t="s">
        <v>49</v>
      </c>
      <c r="U320" s="64" t="s">
        <v>153</v>
      </c>
      <c r="Z320" s="63" t="s">
        <v>173</v>
      </c>
      <c r="AA320" s="64" t="s">
        <v>153</v>
      </c>
    </row>
    <row r="321" spans="1:28" ht="13.5">
      <c r="A321" s="2" t="s">
        <v>928</v>
      </c>
      <c r="B321" s="4" t="s">
        <v>29</v>
      </c>
      <c r="C321" s="49" t="s">
        <v>769</v>
      </c>
      <c r="D321" s="50" t="s">
        <v>929</v>
      </c>
      <c r="E321" s="7">
        <v>515</v>
      </c>
      <c r="F321" s="2">
        <v>5</v>
      </c>
      <c r="G321" s="49" t="s">
        <v>891</v>
      </c>
      <c r="H321" s="49">
        <v>3</v>
      </c>
      <c r="I321" s="51">
        <v>4</v>
      </c>
      <c r="J321" s="49" t="s">
        <v>34</v>
      </c>
      <c r="K321" s="49">
        <v>60</v>
      </c>
      <c r="L321" s="2"/>
      <c r="M321" s="2"/>
      <c r="N321" s="49">
        <v>10</v>
      </c>
      <c r="O321" s="49" t="s">
        <v>35</v>
      </c>
      <c r="P321" s="50" t="s">
        <v>894</v>
      </c>
      <c r="Q321" s="50" t="s">
        <v>81</v>
      </c>
      <c r="R321" s="63" t="s">
        <v>49</v>
      </c>
      <c r="S321" s="64" t="s">
        <v>153</v>
      </c>
      <c r="X321" s="63" t="s">
        <v>96</v>
      </c>
      <c r="Y321" s="64" t="s">
        <v>153</v>
      </c>
    </row>
    <row r="322" spans="1:28" ht="13.5">
      <c r="A322" s="2" t="s">
        <v>930</v>
      </c>
      <c r="B322" s="4" t="s">
        <v>29</v>
      </c>
      <c r="C322" s="49" t="s">
        <v>769</v>
      </c>
      <c r="D322" s="50" t="s">
        <v>931</v>
      </c>
      <c r="E322" s="7">
        <v>516</v>
      </c>
      <c r="F322" s="2">
        <v>6</v>
      </c>
      <c r="G322" s="49" t="s">
        <v>891</v>
      </c>
      <c r="H322" s="49">
        <v>3</v>
      </c>
      <c r="I322" s="51">
        <v>4</v>
      </c>
      <c r="J322" s="49" t="s">
        <v>34</v>
      </c>
      <c r="K322" s="49">
        <v>60</v>
      </c>
      <c r="L322" s="2"/>
      <c r="M322" s="2"/>
      <c r="N322" s="49">
        <v>10</v>
      </c>
      <c r="O322" s="49" t="s">
        <v>35</v>
      </c>
      <c r="P322" s="50" t="s">
        <v>894</v>
      </c>
      <c r="Q322" s="50" t="s">
        <v>81</v>
      </c>
      <c r="R322" s="63" t="s">
        <v>194</v>
      </c>
      <c r="S322" s="64" t="s">
        <v>153</v>
      </c>
      <c r="T322" s="63" t="s">
        <v>102</v>
      </c>
      <c r="U322" s="64" t="s">
        <v>172</v>
      </c>
    </row>
    <row r="323" spans="1:28" ht="27">
      <c r="A323" s="2" t="s">
        <v>932</v>
      </c>
      <c r="B323" s="4" t="s">
        <v>29</v>
      </c>
      <c r="C323" s="49" t="s">
        <v>42</v>
      </c>
      <c r="D323" s="57" t="s">
        <v>933</v>
      </c>
      <c r="E323" s="7">
        <v>517</v>
      </c>
      <c r="F323" s="2"/>
      <c r="G323" s="56" t="s">
        <v>934</v>
      </c>
      <c r="H323" s="49">
        <v>3</v>
      </c>
      <c r="I323" s="49">
        <v>3</v>
      </c>
      <c r="J323" s="56" t="s">
        <v>78</v>
      </c>
      <c r="K323" s="49">
        <v>48</v>
      </c>
      <c r="L323" s="2"/>
      <c r="M323" s="2"/>
      <c r="N323" s="49">
        <v>32</v>
      </c>
      <c r="O323" s="49" t="s">
        <v>35</v>
      </c>
      <c r="P323" s="52" t="s">
        <v>371</v>
      </c>
      <c r="Q323" s="52" t="s">
        <v>372</v>
      </c>
    </row>
    <row r="324" spans="1:28" ht="27">
      <c r="A324" s="2" t="s">
        <v>935</v>
      </c>
      <c r="B324" s="4" t="s">
        <v>29</v>
      </c>
      <c r="C324" s="49" t="s">
        <v>42</v>
      </c>
      <c r="D324" s="57" t="s">
        <v>936</v>
      </c>
      <c r="E324" s="7">
        <v>518</v>
      </c>
      <c r="F324" s="2"/>
      <c r="G324" s="56" t="s">
        <v>934</v>
      </c>
      <c r="H324" s="49">
        <v>3</v>
      </c>
      <c r="I324" s="58">
        <v>3</v>
      </c>
      <c r="J324" s="56" t="s">
        <v>78</v>
      </c>
      <c r="K324" s="49">
        <v>48</v>
      </c>
      <c r="L324" s="2"/>
      <c r="M324" s="2"/>
      <c r="N324" s="49">
        <v>32</v>
      </c>
      <c r="O324" s="49" t="s">
        <v>35</v>
      </c>
      <c r="P324" s="59" t="s">
        <v>937</v>
      </c>
      <c r="Q324" s="52" t="s">
        <v>938</v>
      </c>
    </row>
    <row r="325" spans="1:28" ht="27">
      <c r="A325" s="2" t="s">
        <v>939</v>
      </c>
      <c r="B325" s="4" t="s">
        <v>29</v>
      </c>
      <c r="C325" s="49" t="s">
        <v>42</v>
      </c>
      <c r="D325" s="57" t="s">
        <v>940</v>
      </c>
      <c r="E325" s="7">
        <v>519</v>
      </c>
      <c r="F325" s="2"/>
      <c r="G325" s="56" t="s">
        <v>934</v>
      </c>
      <c r="H325" s="49">
        <v>3</v>
      </c>
      <c r="I325" s="58">
        <v>3</v>
      </c>
      <c r="J325" s="56" t="s">
        <v>78</v>
      </c>
      <c r="K325" s="49">
        <v>48</v>
      </c>
      <c r="L325" s="2"/>
      <c r="M325" s="2"/>
      <c r="N325" s="49">
        <v>32</v>
      </c>
      <c r="O325" s="49" t="s">
        <v>35</v>
      </c>
      <c r="P325" s="59" t="s">
        <v>937</v>
      </c>
      <c r="Q325" s="52" t="s">
        <v>941</v>
      </c>
    </row>
    <row r="326" spans="1:28" ht="27">
      <c r="A326" s="2" t="s">
        <v>942</v>
      </c>
      <c r="B326" s="4" t="s">
        <v>29</v>
      </c>
      <c r="C326" s="49" t="s">
        <v>42</v>
      </c>
      <c r="D326" s="57" t="s">
        <v>943</v>
      </c>
      <c r="E326" s="7">
        <v>520</v>
      </c>
      <c r="F326" s="2"/>
      <c r="G326" s="56" t="s">
        <v>934</v>
      </c>
      <c r="H326" s="49">
        <v>3</v>
      </c>
      <c r="I326" s="58">
        <v>3</v>
      </c>
      <c r="J326" s="56" t="s">
        <v>78</v>
      </c>
      <c r="K326" s="49">
        <v>48</v>
      </c>
      <c r="L326" s="2"/>
      <c r="M326" s="2"/>
      <c r="N326" s="49">
        <v>32</v>
      </c>
      <c r="O326" s="49" t="s">
        <v>35</v>
      </c>
      <c r="P326" s="52" t="s">
        <v>352</v>
      </c>
      <c r="Q326" s="52" t="s">
        <v>353</v>
      </c>
    </row>
    <row r="327" spans="1:28" ht="27">
      <c r="A327" s="2" t="s">
        <v>944</v>
      </c>
      <c r="B327" s="4" t="s">
        <v>29</v>
      </c>
      <c r="C327" s="49" t="s">
        <v>42</v>
      </c>
      <c r="D327" s="57" t="s">
        <v>945</v>
      </c>
      <c r="E327" s="7">
        <v>521</v>
      </c>
      <c r="F327" s="2"/>
      <c r="G327" s="56" t="s">
        <v>934</v>
      </c>
      <c r="H327" s="49">
        <v>3</v>
      </c>
      <c r="I327" s="58">
        <v>3</v>
      </c>
      <c r="J327" s="56" t="s">
        <v>78</v>
      </c>
      <c r="K327" s="49">
        <v>48</v>
      </c>
      <c r="L327" s="2"/>
      <c r="M327" s="2"/>
      <c r="N327" s="49">
        <v>32</v>
      </c>
      <c r="O327" s="49" t="s">
        <v>35</v>
      </c>
      <c r="P327" s="59" t="s">
        <v>946</v>
      </c>
      <c r="Q327" s="52" t="s">
        <v>947</v>
      </c>
    </row>
    <row r="328" spans="1:28" ht="13.5">
      <c r="A328" s="2" t="s">
        <v>948</v>
      </c>
      <c r="B328" s="4" t="s">
        <v>29</v>
      </c>
      <c r="C328" s="49" t="s">
        <v>42</v>
      </c>
      <c r="D328" s="57" t="s">
        <v>949</v>
      </c>
      <c r="E328" s="7">
        <v>522</v>
      </c>
      <c r="F328" s="2"/>
      <c r="G328" s="56" t="s">
        <v>934</v>
      </c>
      <c r="H328" s="49">
        <v>1</v>
      </c>
      <c r="I328" s="58">
        <v>4</v>
      </c>
      <c r="J328" s="56" t="s">
        <v>78</v>
      </c>
      <c r="K328" s="49">
        <v>64</v>
      </c>
      <c r="L328" s="2"/>
      <c r="M328" s="2"/>
      <c r="N328" s="49">
        <v>8</v>
      </c>
      <c r="O328" s="49" t="s">
        <v>35</v>
      </c>
      <c r="P328" s="50" t="s">
        <v>950</v>
      </c>
      <c r="Q328" s="52" t="s">
        <v>438</v>
      </c>
      <c r="R328" s="63" t="s">
        <v>49</v>
      </c>
      <c r="S328" s="64" t="s">
        <v>244</v>
      </c>
      <c r="V328" s="63" t="s">
        <v>164</v>
      </c>
      <c r="W328" s="64" t="s">
        <v>429</v>
      </c>
    </row>
    <row r="329" spans="1:28" ht="13.5">
      <c r="A329" s="2" t="s">
        <v>951</v>
      </c>
      <c r="B329" s="4" t="s">
        <v>29</v>
      </c>
      <c r="C329" s="49" t="s">
        <v>42</v>
      </c>
      <c r="D329" s="57" t="s">
        <v>952</v>
      </c>
      <c r="E329" s="7">
        <v>523</v>
      </c>
      <c r="F329" s="2"/>
      <c r="G329" s="56" t="s">
        <v>934</v>
      </c>
      <c r="H329" s="49">
        <v>1</v>
      </c>
      <c r="I329" s="58">
        <v>4</v>
      </c>
      <c r="J329" s="56" t="s">
        <v>78</v>
      </c>
      <c r="K329" s="49">
        <v>64</v>
      </c>
      <c r="L329" s="2"/>
      <c r="M329" s="2"/>
      <c r="N329" s="49">
        <v>8</v>
      </c>
      <c r="O329" s="49" t="s">
        <v>35</v>
      </c>
      <c r="P329" s="50" t="s">
        <v>441</v>
      </c>
      <c r="Q329" s="52" t="s">
        <v>442</v>
      </c>
      <c r="R329" s="63" t="s">
        <v>102</v>
      </c>
      <c r="S329" s="64" t="s">
        <v>172</v>
      </c>
      <c r="X329" s="63" t="s">
        <v>102</v>
      </c>
      <c r="Y329" s="64" t="s">
        <v>172</v>
      </c>
      <c r="AB329" s="71"/>
    </row>
    <row r="330" spans="1:28" ht="13.5">
      <c r="A330" s="2" t="s">
        <v>953</v>
      </c>
      <c r="B330" s="4" t="s">
        <v>29</v>
      </c>
      <c r="C330" s="49" t="s">
        <v>42</v>
      </c>
      <c r="D330" s="57" t="s">
        <v>954</v>
      </c>
      <c r="E330" s="7">
        <v>524</v>
      </c>
      <c r="F330" s="2"/>
      <c r="G330" s="56" t="s">
        <v>934</v>
      </c>
      <c r="H330" s="49">
        <v>1</v>
      </c>
      <c r="I330" s="58">
        <v>4</v>
      </c>
      <c r="J330" s="56" t="s">
        <v>78</v>
      </c>
      <c r="K330" s="49">
        <v>64</v>
      </c>
      <c r="L330" s="2"/>
      <c r="M330" s="2"/>
      <c r="N330" s="49">
        <v>8</v>
      </c>
      <c r="O330" s="49" t="s">
        <v>35</v>
      </c>
      <c r="P330" s="50" t="s">
        <v>223</v>
      </c>
      <c r="Q330" s="52" t="s">
        <v>466</v>
      </c>
      <c r="T330" s="63" t="s">
        <v>290</v>
      </c>
      <c r="U330" s="64" t="s">
        <v>408</v>
      </c>
      <c r="X330" s="63" t="s">
        <v>626</v>
      </c>
      <c r="Y330" s="64" t="s">
        <v>429</v>
      </c>
    </row>
    <row r="331" spans="1:28" ht="13.5">
      <c r="A331" s="2" t="s">
        <v>955</v>
      </c>
      <c r="B331" s="4" t="s">
        <v>29</v>
      </c>
      <c r="C331" s="49" t="s">
        <v>42</v>
      </c>
      <c r="D331" s="57" t="s">
        <v>744</v>
      </c>
      <c r="E331" s="7">
        <v>525</v>
      </c>
      <c r="F331" s="2"/>
      <c r="G331" s="56" t="s">
        <v>934</v>
      </c>
      <c r="H331" s="49">
        <v>1</v>
      </c>
      <c r="I331" s="58">
        <v>4</v>
      </c>
      <c r="J331" s="56" t="s">
        <v>78</v>
      </c>
      <c r="K331" s="49">
        <v>64</v>
      </c>
      <c r="L331" s="2"/>
      <c r="M331" s="2"/>
      <c r="N331" s="49">
        <v>8</v>
      </c>
      <c r="O331" s="49" t="s">
        <v>35</v>
      </c>
      <c r="P331" s="50" t="s">
        <v>305</v>
      </c>
      <c r="Q331" s="52" t="s">
        <v>610</v>
      </c>
      <c r="R331" s="63" t="s">
        <v>140</v>
      </c>
      <c r="S331" s="64" t="s">
        <v>118</v>
      </c>
      <c r="Z331" s="63" t="s">
        <v>194</v>
      </c>
      <c r="AA331" s="64" t="s">
        <v>50</v>
      </c>
    </row>
    <row r="332" spans="1:28" ht="13.5">
      <c r="A332" s="2" t="s">
        <v>956</v>
      </c>
      <c r="B332" s="4" t="s">
        <v>29</v>
      </c>
      <c r="C332" s="49" t="s">
        <v>42</v>
      </c>
      <c r="D332" s="57" t="s">
        <v>957</v>
      </c>
      <c r="E332" s="7">
        <v>526</v>
      </c>
      <c r="F332" s="2"/>
      <c r="G332" s="56" t="s">
        <v>934</v>
      </c>
      <c r="H332" s="49">
        <v>1</v>
      </c>
      <c r="I332" s="58">
        <v>4</v>
      </c>
      <c r="J332" s="56" t="s">
        <v>78</v>
      </c>
      <c r="K332" s="49">
        <v>64</v>
      </c>
      <c r="L332" s="2"/>
      <c r="M332" s="2"/>
      <c r="N332" s="49">
        <v>8</v>
      </c>
      <c r="O332" s="49" t="s">
        <v>35</v>
      </c>
      <c r="P332" s="50" t="s">
        <v>448</v>
      </c>
      <c r="Q332" s="52" t="s">
        <v>449</v>
      </c>
      <c r="T332" s="63" t="s">
        <v>626</v>
      </c>
      <c r="U332" s="64" t="s">
        <v>162</v>
      </c>
      <c r="Z332" s="63" t="s">
        <v>958</v>
      </c>
      <c r="AA332" s="64" t="s">
        <v>97</v>
      </c>
      <c r="AB332" s="74"/>
    </row>
    <row r="333" spans="1:28" ht="13.5">
      <c r="A333" s="2" t="s">
        <v>959</v>
      </c>
      <c r="B333" s="4" t="s">
        <v>29</v>
      </c>
      <c r="C333" s="61" t="s">
        <v>769</v>
      </c>
      <c r="D333" s="62" t="s">
        <v>960</v>
      </c>
      <c r="E333" s="7">
        <v>527</v>
      </c>
      <c r="F333" s="2">
        <v>1</v>
      </c>
      <c r="G333" s="60" t="s">
        <v>934</v>
      </c>
      <c r="H333" s="60">
        <v>3</v>
      </c>
      <c r="I333" s="60">
        <v>4</v>
      </c>
      <c r="J333" s="60" t="s">
        <v>78</v>
      </c>
      <c r="K333" s="60">
        <v>64</v>
      </c>
      <c r="L333" s="2"/>
      <c r="M333" s="2"/>
      <c r="N333" s="60">
        <v>8</v>
      </c>
      <c r="O333" s="60" t="s">
        <v>35</v>
      </c>
      <c r="P333" s="59" t="s">
        <v>937</v>
      </c>
      <c r="Q333" s="52" t="s">
        <v>941</v>
      </c>
      <c r="R333" s="63" t="s">
        <v>103</v>
      </c>
      <c r="S333" s="64" t="s">
        <v>62</v>
      </c>
      <c r="X333" s="63" t="s">
        <v>103</v>
      </c>
      <c r="Y333" s="64" t="s">
        <v>62</v>
      </c>
    </row>
    <row r="334" spans="1:28" ht="13.5">
      <c r="A334" s="2" t="s">
        <v>961</v>
      </c>
      <c r="B334" s="4" t="s">
        <v>29</v>
      </c>
      <c r="C334" s="61" t="s">
        <v>769</v>
      </c>
      <c r="D334" s="62" t="s">
        <v>962</v>
      </c>
      <c r="E334" s="7">
        <v>528</v>
      </c>
      <c r="F334" s="2">
        <v>2</v>
      </c>
      <c r="G334" s="60" t="s">
        <v>934</v>
      </c>
      <c r="H334" s="60">
        <v>3</v>
      </c>
      <c r="I334" s="60">
        <v>4</v>
      </c>
      <c r="J334" s="60" t="s">
        <v>78</v>
      </c>
      <c r="K334" s="60">
        <v>64</v>
      </c>
      <c r="L334" s="2"/>
      <c r="M334" s="2"/>
      <c r="N334" s="60">
        <v>8</v>
      </c>
      <c r="O334" s="60" t="s">
        <v>35</v>
      </c>
      <c r="P334" s="63" t="s">
        <v>352</v>
      </c>
      <c r="Q334" s="63" t="s">
        <v>353</v>
      </c>
      <c r="T334" s="63" t="s">
        <v>49</v>
      </c>
      <c r="U334" s="64" t="s">
        <v>429</v>
      </c>
      <c r="Z334" s="63" t="s">
        <v>47</v>
      </c>
      <c r="AA334" s="64" t="s">
        <v>408</v>
      </c>
    </row>
    <row r="335" spans="1:28" ht="13.5">
      <c r="A335" s="2" t="s">
        <v>963</v>
      </c>
      <c r="B335" s="4" t="s">
        <v>29</v>
      </c>
      <c r="C335" s="61" t="s">
        <v>769</v>
      </c>
      <c r="D335" s="62" t="s">
        <v>964</v>
      </c>
      <c r="E335" s="7">
        <v>529</v>
      </c>
      <c r="F335" s="2">
        <v>3</v>
      </c>
      <c r="G335" s="60" t="s">
        <v>934</v>
      </c>
      <c r="H335" s="60">
        <v>3</v>
      </c>
      <c r="I335" s="60">
        <v>4</v>
      </c>
      <c r="J335" s="60" t="s">
        <v>78</v>
      </c>
      <c r="K335" s="60">
        <v>64</v>
      </c>
      <c r="L335" s="2"/>
      <c r="M335" s="2"/>
      <c r="N335" s="60">
        <v>8</v>
      </c>
      <c r="O335" s="60" t="s">
        <v>35</v>
      </c>
      <c r="P335" s="63" t="s">
        <v>383</v>
      </c>
      <c r="Q335" s="63" t="s">
        <v>384</v>
      </c>
      <c r="V335" s="63" t="s">
        <v>103</v>
      </c>
      <c r="W335" s="64" t="s">
        <v>429</v>
      </c>
      <c r="Z335" s="63" t="s">
        <v>164</v>
      </c>
      <c r="AA335" s="64" t="s">
        <v>408</v>
      </c>
    </row>
    <row r="336" spans="1:28" ht="13.5">
      <c r="A336" s="2" t="s">
        <v>965</v>
      </c>
      <c r="B336" s="4" t="s">
        <v>29</v>
      </c>
      <c r="C336" s="60" t="s">
        <v>769</v>
      </c>
      <c r="D336" s="64" t="s">
        <v>966</v>
      </c>
      <c r="E336" s="7">
        <v>530</v>
      </c>
      <c r="F336" s="2">
        <v>4</v>
      </c>
      <c r="G336" s="60" t="s">
        <v>934</v>
      </c>
      <c r="H336" s="60">
        <v>3</v>
      </c>
      <c r="I336" s="60">
        <v>4</v>
      </c>
      <c r="J336" s="60" t="s">
        <v>78</v>
      </c>
      <c r="K336" s="60">
        <v>64</v>
      </c>
      <c r="L336" s="2"/>
      <c r="M336" s="2"/>
      <c r="N336" s="60">
        <v>8</v>
      </c>
      <c r="O336" s="60" t="s">
        <v>35</v>
      </c>
      <c r="P336" s="63" t="s">
        <v>371</v>
      </c>
      <c r="Q336" s="63" t="s">
        <v>372</v>
      </c>
      <c r="R336" s="63" t="s">
        <v>626</v>
      </c>
      <c r="S336" s="64" t="s">
        <v>165</v>
      </c>
      <c r="V336" s="63" t="s">
        <v>258</v>
      </c>
      <c r="W336" s="64" t="s">
        <v>165</v>
      </c>
    </row>
    <row r="337" spans="1:25" ht="15">
      <c r="A337" s="2" t="s">
        <v>967</v>
      </c>
      <c r="B337" s="4" t="s">
        <v>29</v>
      </c>
      <c r="C337" s="49" t="s">
        <v>42</v>
      </c>
      <c r="D337" s="65" t="s">
        <v>526</v>
      </c>
      <c r="E337" s="7">
        <v>531</v>
      </c>
      <c r="G337" s="49" t="s">
        <v>968</v>
      </c>
      <c r="H337" s="49">
        <v>1</v>
      </c>
      <c r="I337" s="49">
        <v>5</v>
      </c>
      <c r="J337" s="49" t="s">
        <v>78</v>
      </c>
      <c r="K337" s="66">
        <v>80</v>
      </c>
      <c r="N337" s="66">
        <v>10</v>
      </c>
      <c r="O337" s="49" t="s">
        <v>35</v>
      </c>
      <c r="P337" s="68" t="s">
        <v>527</v>
      </c>
      <c r="Q337" s="68" t="s">
        <v>528</v>
      </c>
      <c r="R337" s="63" t="s">
        <v>54</v>
      </c>
      <c r="S337" s="64" t="s">
        <v>160</v>
      </c>
      <c r="T337" s="63" t="s">
        <v>249</v>
      </c>
      <c r="U337" s="64" t="s">
        <v>160</v>
      </c>
      <c r="X337" s="63" t="s">
        <v>354</v>
      </c>
      <c r="Y337" s="64" t="s">
        <v>160</v>
      </c>
    </row>
    <row r="338" spans="1:25" ht="15">
      <c r="A338" s="2" t="s">
        <v>969</v>
      </c>
      <c r="B338" s="4" t="s">
        <v>29</v>
      </c>
      <c r="C338" s="49" t="s">
        <v>42</v>
      </c>
      <c r="D338" s="69" t="s">
        <v>970</v>
      </c>
      <c r="E338" s="7">
        <v>532</v>
      </c>
      <c r="G338" s="49" t="s">
        <v>968</v>
      </c>
      <c r="H338" s="49">
        <v>1</v>
      </c>
      <c r="I338" s="49">
        <v>2</v>
      </c>
      <c r="J338" s="49" t="s">
        <v>78</v>
      </c>
      <c r="K338" s="66">
        <v>32</v>
      </c>
      <c r="N338" s="66">
        <v>4</v>
      </c>
      <c r="O338" s="49" t="s">
        <v>35</v>
      </c>
      <c r="P338" s="68" t="s">
        <v>425</v>
      </c>
      <c r="Q338" s="68" t="s">
        <v>426</v>
      </c>
      <c r="T338" s="63" t="s">
        <v>55</v>
      </c>
      <c r="U338" s="64" t="s">
        <v>160</v>
      </c>
    </row>
    <row r="339" spans="1:25" ht="15">
      <c r="A339" s="2" t="s">
        <v>971</v>
      </c>
      <c r="B339" s="4" t="s">
        <v>29</v>
      </c>
      <c r="C339" s="49" t="s">
        <v>42</v>
      </c>
      <c r="D339" s="65" t="s">
        <v>972</v>
      </c>
      <c r="E339" s="7">
        <v>533</v>
      </c>
      <c r="G339" s="49" t="s">
        <v>968</v>
      </c>
      <c r="H339" s="49">
        <v>1</v>
      </c>
      <c r="I339" s="49">
        <v>3</v>
      </c>
      <c r="J339" s="49" t="s">
        <v>78</v>
      </c>
      <c r="K339" s="66">
        <v>48</v>
      </c>
      <c r="N339" s="66">
        <v>6</v>
      </c>
      <c r="O339" s="49" t="s">
        <v>35</v>
      </c>
      <c r="P339" s="68" t="s">
        <v>591</v>
      </c>
      <c r="Q339" s="68" t="s">
        <v>592</v>
      </c>
      <c r="R339" s="63" t="s">
        <v>82</v>
      </c>
      <c r="S339" s="64" t="s">
        <v>216</v>
      </c>
      <c r="X339" s="63" t="s">
        <v>82</v>
      </c>
      <c r="Y339" s="64" t="s">
        <v>216</v>
      </c>
    </row>
    <row r="340" spans="1:25" ht="15">
      <c r="A340" s="2" t="s">
        <v>973</v>
      </c>
      <c r="B340" s="4" t="s">
        <v>29</v>
      </c>
      <c r="C340" s="49" t="s">
        <v>42</v>
      </c>
      <c r="D340" s="65" t="s">
        <v>974</v>
      </c>
      <c r="E340" s="7">
        <v>534</v>
      </c>
      <c r="G340" s="49" t="s">
        <v>968</v>
      </c>
      <c r="H340" s="49">
        <v>3</v>
      </c>
      <c r="I340" s="49">
        <v>4</v>
      </c>
      <c r="J340" s="49" t="s">
        <v>78</v>
      </c>
      <c r="K340" s="66">
        <v>64</v>
      </c>
      <c r="N340" s="66">
        <v>8</v>
      </c>
      <c r="O340" s="49" t="s">
        <v>35</v>
      </c>
      <c r="P340" s="68" t="s">
        <v>432</v>
      </c>
      <c r="Q340" s="68" t="s">
        <v>433</v>
      </c>
      <c r="T340" s="63" t="s">
        <v>542</v>
      </c>
      <c r="U340" s="64" t="s">
        <v>153</v>
      </c>
      <c r="X340" s="63" t="s">
        <v>542</v>
      </c>
      <c r="Y340" s="64" t="s">
        <v>153</v>
      </c>
    </row>
    <row r="341" spans="1:25" ht="15">
      <c r="A341" s="2" t="s">
        <v>975</v>
      </c>
      <c r="B341" s="4" t="s">
        <v>29</v>
      </c>
      <c r="C341" s="70" t="s">
        <v>769</v>
      </c>
      <c r="D341" s="67" t="s">
        <v>976</v>
      </c>
      <c r="E341" s="7">
        <v>535</v>
      </c>
      <c r="G341" s="49" t="s">
        <v>968</v>
      </c>
      <c r="H341" s="49">
        <v>3</v>
      </c>
      <c r="I341" s="49">
        <v>4</v>
      </c>
      <c r="J341" s="49" t="s">
        <v>977</v>
      </c>
      <c r="K341" s="66">
        <v>64</v>
      </c>
      <c r="N341" s="66">
        <v>8</v>
      </c>
      <c r="O341" s="49" t="s">
        <v>35</v>
      </c>
      <c r="P341" s="68" t="s">
        <v>671</v>
      </c>
      <c r="Q341" s="68" t="s">
        <v>672</v>
      </c>
      <c r="T341" s="63" t="s">
        <v>978</v>
      </c>
      <c r="U341" s="64" t="s">
        <v>153</v>
      </c>
      <c r="X341" s="63" t="s">
        <v>978</v>
      </c>
      <c r="Y341" s="64" t="s">
        <v>153</v>
      </c>
    </row>
    <row r="342" spans="1:25" ht="22.5">
      <c r="B342" s="4" t="s">
        <v>29</v>
      </c>
      <c r="C342" s="49" t="s">
        <v>42</v>
      </c>
      <c r="D342" s="7" t="s">
        <v>979</v>
      </c>
      <c r="G342" s="7" t="s">
        <v>980</v>
      </c>
      <c r="H342" s="3">
        <v>8</v>
      </c>
      <c r="I342" s="2">
        <v>4</v>
      </c>
      <c r="J342" s="4" t="s">
        <v>34</v>
      </c>
      <c r="K342" s="5">
        <v>64</v>
      </c>
      <c r="M342" s="5">
        <v>192</v>
      </c>
      <c r="N342" s="8">
        <v>40</v>
      </c>
      <c r="O342" s="3" t="s">
        <v>35</v>
      </c>
      <c r="P342" s="4" t="s">
        <v>981</v>
      </c>
      <c r="Q342" s="5" t="s">
        <v>982</v>
      </c>
    </row>
    <row r="343" spans="1:25" ht="22.5">
      <c r="B343" s="4" t="s">
        <v>29</v>
      </c>
      <c r="C343" s="49" t="s">
        <v>42</v>
      </c>
      <c r="D343" s="7" t="s">
        <v>983</v>
      </c>
      <c r="G343" s="7" t="s">
        <v>980</v>
      </c>
      <c r="H343" s="3">
        <v>8</v>
      </c>
      <c r="I343" s="2">
        <v>4</v>
      </c>
      <c r="J343" s="4" t="s">
        <v>34</v>
      </c>
      <c r="K343" s="5">
        <v>64</v>
      </c>
      <c r="M343" s="5">
        <v>192</v>
      </c>
      <c r="N343" s="8">
        <v>40</v>
      </c>
      <c r="O343" s="3" t="s">
        <v>35</v>
      </c>
      <c r="P343" s="4" t="s">
        <v>69</v>
      </c>
      <c r="Q343" s="5" t="s">
        <v>984</v>
      </c>
    </row>
    <row r="344" spans="1:25" ht="22.5">
      <c r="B344" s="4" t="s">
        <v>29</v>
      </c>
      <c r="C344" s="49" t="s">
        <v>42</v>
      </c>
      <c r="D344" s="7" t="s">
        <v>985</v>
      </c>
      <c r="G344" s="7" t="s">
        <v>980</v>
      </c>
      <c r="H344" s="3">
        <v>7</v>
      </c>
      <c r="I344" s="2">
        <v>4</v>
      </c>
      <c r="J344" s="4" t="s">
        <v>34</v>
      </c>
      <c r="K344" s="5">
        <v>64</v>
      </c>
      <c r="M344" s="5">
        <v>192</v>
      </c>
      <c r="N344" s="8">
        <v>40</v>
      </c>
      <c r="O344" s="3" t="s">
        <v>35</v>
      </c>
      <c r="P344" s="4" t="s">
        <v>986</v>
      </c>
      <c r="Q344" s="5" t="s">
        <v>803</v>
      </c>
    </row>
    <row r="345" spans="1:25" ht="22.5">
      <c r="B345" s="4" t="s">
        <v>29</v>
      </c>
      <c r="C345" s="49" t="s">
        <v>42</v>
      </c>
      <c r="D345" s="7" t="s">
        <v>987</v>
      </c>
      <c r="G345" s="7" t="s">
        <v>980</v>
      </c>
      <c r="H345" s="3">
        <v>5</v>
      </c>
      <c r="I345" s="2">
        <v>4</v>
      </c>
      <c r="J345" s="4" t="s">
        <v>34</v>
      </c>
      <c r="K345" s="5">
        <v>64</v>
      </c>
      <c r="M345" s="5">
        <v>192</v>
      </c>
      <c r="N345" s="8">
        <v>40</v>
      </c>
      <c r="O345" s="3" t="s">
        <v>35</v>
      </c>
      <c r="P345" s="4" t="s">
        <v>981</v>
      </c>
      <c r="Q345" s="5" t="s">
        <v>982</v>
      </c>
    </row>
    <row r="346" spans="1:25" ht="22.5">
      <c r="B346" s="4" t="s">
        <v>29</v>
      </c>
      <c r="C346" s="49" t="s">
        <v>42</v>
      </c>
      <c r="D346" s="7" t="s">
        <v>988</v>
      </c>
      <c r="G346" s="7" t="s">
        <v>980</v>
      </c>
      <c r="H346" s="3">
        <v>4</v>
      </c>
      <c r="I346" s="2">
        <v>4</v>
      </c>
      <c r="J346" s="4" t="s">
        <v>34</v>
      </c>
      <c r="K346" s="5">
        <v>64</v>
      </c>
      <c r="M346" s="5">
        <v>192</v>
      </c>
      <c r="N346" s="8">
        <v>40</v>
      </c>
      <c r="O346" s="3" t="s">
        <v>35</v>
      </c>
      <c r="P346" s="4" t="s">
        <v>989</v>
      </c>
      <c r="Q346" s="5" t="s">
        <v>990</v>
      </c>
    </row>
    <row r="347" spans="1:25" ht="22.5">
      <c r="B347" s="4" t="s">
        <v>29</v>
      </c>
      <c r="C347" s="49" t="s">
        <v>42</v>
      </c>
      <c r="D347" s="7" t="s">
        <v>991</v>
      </c>
      <c r="G347" s="7" t="s">
        <v>980</v>
      </c>
      <c r="H347" s="3">
        <v>3</v>
      </c>
      <c r="I347" s="2">
        <v>4</v>
      </c>
      <c r="J347" s="4" t="s">
        <v>34</v>
      </c>
      <c r="K347" s="5">
        <v>64</v>
      </c>
      <c r="M347" s="5">
        <v>192</v>
      </c>
      <c r="N347" s="8">
        <v>40</v>
      </c>
      <c r="O347" s="3" t="s">
        <v>35</v>
      </c>
      <c r="P347" s="4" t="s">
        <v>992</v>
      </c>
      <c r="Q347" s="5" t="s">
        <v>672</v>
      </c>
    </row>
    <row r="348" spans="1:25" ht="22.5">
      <c r="B348" s="4" t="s">
        <v>29</v>
      </c>
      <c r="C348" s="49" t="s">
        <v>42</v>
      </c>
      <c r="D348" s="7" t="s">
        <v>993</v>
      </c>
      <c r="G348" s="7" t="s">
        <v>980</v>
      </c>
      <c r="H348" s="3">
        <v>2</v>
      </c>
      <c r="I348" s="2">
        <v>4</v>
      </c>
      <c r="J348" s="4" t="s">
        <v>34</v>
      </c>
      <c r="K348" s="5">
        <v>64</v>
      </c>
      <c r="M348" s="5">
        <v>192</v>
      </c>
      <c r="N348" s="8">
        <v>40</v>
      </c>
      <c r="O348" s="3" t="s">
        <v>35</v>
      </c>
      <c r="P348" s="4" t="s">
        <v>235</v>
      </c>
      <c r="Q348" s="5" t="s">
        <v>236</v>
      </c>
    </row>
    <row r="349" spans="1:25" ht="22.5">
      <c r="B349" s="4" t="s">
        <v>29</v>
      </c>
      <c r="C349" s="49" t="s">
        <v>42</v>
      </c>
      <c r="D349" s="7" t="s">
        <v>994</v>
      </c>
      <c r="G349" s="7" t="s">
        <v>980</v>
      </c>
      <c r="H349" s="3">
        <v>2</v>
      </c>
      <c r="I349" s="2">
        <v>4</v>
      </c>
      <c r="J349" s="4">
        <v>64</v>
      </c>
      <c r="K349" s="5">
        <v>64</v>
      </c>
      <c r="M349" s="5">
        <v>192</v>
      </c>
      <c r="N349" s="8">
        <v>40</v>
      </c>
      <c r="O349" s="3" t="s">
        <v>35</v>
      </c>
      <c r="P349" s="4" t="s">
        <v>986</v>
      </c>
      <c r="Q349" s="5" t="s">
        <v>803</v>
      </c>
    </row>
    <row r="350" spans="1:25" ht="12.75">
      <c r="B350" s="4" t="s">
        <v>29</v>
      </c>
      <c r="C350" s="49" t="s">
        <v>42</v>
      </c>
      <c r="D350" s="7" t="s">
        <v>995</v>
      </c>
      <c r="G350" s="7" t="s">
        <v>996</v>
      </c>
      <c r="H350" s="3">
        <v>1</v>
      </c>
      <c r="I350" s="2" t="s">
        <v>997</v>
      </c>
      <c r="J350" s="4" t="s">
        <v>78</v>
      </c>
      <c r="K350" s="5">
        <v>24</v>
      </c>
      <c r="M350" s="5">
        <v>24</v>
      </c>
      <c r="N350" s="8">
        <v>3</v>
      </c>
      <c r="O350" s="3" t="s">
        <v>35</v>
      </c>
      <c r="P350" s="4" t="s">
        <v>998</v>
      </c>
      <c r="Q350" s="5" t="s">
        <v>999</v>
      </c>
    </row>
    <row r="351" spans="1:25" ht="12.75">
      <c r="B351" s="4" t="s">
        <v>29</v>
      </c>
      <c r="C351" s="49" t="s">
        <v>42</v>
      </c>
      <c r="D351" s="7" t="s">
        <v>1000</v>
      </c>
      <c r="G351" s="7" t="s">
        <v>996</v>
      </c>
      <c r="H351" s="3">
        <v>1</v>
      </c>
      <c r="I351" s="2" t="s">
        <v>997</v>
      </c>
      <c r="J351" s="4" t="s">
        <v>78</v>
      </c>
      <c r="K351" s="5">
        <v>24</v>
      </c>
      <c r="M351" s="5">
        <v>24</v>
      </c>
      <c r="N351" s="8">
        <v>3</v>
      </c>
      <c r="O351" s="3" t="s">
        <v>35</v>
      </c>
      <c r="P351" s="4" t="s">
        <v>697</v>
      </c>
      <c r="Q351" s="5" t="s">
        <v>698</v>
      </c>
    </row>
    <row r="352" spans="1:25" ht="12.75">
      <c r="B352" s="4" t="s">
        <v>29</v>
      </c>
      <c r="C352" s="49" t="s">
        <v>42</v>
      </c>
      <c r="D352" s="7" t="s">
        <v>1001</v>
      </c>
      <c r="G352" s="7" t="s">
        <v>996</v>
      </c>
      <c r="H352" s="3">
        <v>1</v>
      </c>
      <c r="I352" s="2" t="s">
        <v>997</v>
      </c>
      <c r="J352" s="4" t="s">
        <v>78</v>
      </c>
      <c r="K352" s="5">
        <v>24</v>
      </c>
      <c r="M352" s="5">
        <v>24</v>
      </c>
      <c r="N352" s="8">
        <v>3</v>
      </c>
      <c r="O352" s="3" t="s">
        <v>35</v>
      </c>
      <c r="P352" s="4" t="s">
        <v>1002</v>
      </c>
      <c r="Q352" s="5" t="s">
        <v>1003</v>
      </c>
    </row>
    <row r="353" spans="2:17" ht="22.5">
      <c r="B353" s="4" t="s">
        <v>29</v>
      </c>
      <c r="C353" s="49" t="s">
        <v>42</v>
      </c>
      <c r="D353" s="7" t="s">
        <v>1004</v>
      </c>
      <c r="G353" s="7" t="s">
        <v>996</v>
      </c>
      <c r="H353" s="3">
        <v>1</v>
      </c>
      <c r="I353" s="2" t="s">
        <v>997</v>
      </c>
      <c r="J353" s="4" t="s">
        <v>78</v>
      </c>
      <c r="K353" s="5">
        <v>24</v>
      </c>
      <c r="M353" s="5">
        <v>24</v>
      </c>
      <c r="N353" s="8">
        <v>3</v>
      </c>
      <c r="O353" s="3" t="s">
        <v>35</v>
      </c>
      <c r="P353" s="4" t="s">
        <v>1005</v>
      </c>
      <c r="Q353" s="5" t="s">
        <v>1006</v>
      </c>
    </row>
    <row r="354" spans="2:17" ht="13.5">
      <c r="B354" s="4" t="s">
        <v>29</v>
      </c>
      <c r="C354" s="70" t="s">
        <v>769</v>
      </c>
      <c r="D354" s="7" t="s">
        <v>1007</v>
      </c>
      <c r="G354" s="7" t="s">
        <v>996</v>
      </c>
      <c r="H354" s="3">
        <v>1</v>
      </c>
      <c r="I354" s="2" t="s">
        <v>997</v>
      </c>
      <c r="J354" s="4" t="s">
        <v>78</v>
      </c>
      <c r="K354" s="5">
        <v>24</v>
      </c>
      <c r="M354" s="5">
        <v>24</v>
      </c>
      <c r="N354" s="8">
        <v>3</v>
      </c>
      <c r="O354" s="3" t="s">
        <v>35</v>
      </c>
      <c r="P354" s="4" t="s">
        <v>1008</v>
      </c>
      <c r="Q354" s="5"/>
    </row>
    <row r="355" spans="2:17" ht="12.75">
      <c r="B355" s="4" t="s">
        <v>29</v>
      </c>
      <c r="C355" s="49" t="s">
        <v>42</v>
      </c>
      <c r="D355" s="7" t="s">
        <v>1009</v>
      </c>
      <c r="G355" s="7" t="s">
        <v>996</v>
      </c>
      <c r="H355" s="3">
        <v>3</v>
      </c>
      <c r="I355" s="2" t="s">
        <v>997</v>
      </c>
      <c r="J355" s="4" t="s">
        <v>78</v>
      </c>
      <c r="K355" s="5">
        <v>24</v>
      </c>
      <c r="M355" s="5">
        <v>24</v>
      </c>
      <c r="N355" s="8">
        <v>3</v>
      </c>
      <c r="O355" s="3" t="s">
        <v>35</v>
      </c>
      <c r="P355" s="4" t="s">
        <v>1002</v>
      </c>
      <c r="Q355" s="5" t="s">
        <v>1003</v>
      </c>
    </row>
    <row r="356" spans="2:17" ht="12.75">
      <c r="B356" s="4" t="s">
        <v>29</v>
      </c>
      <c r="C356" s="49" t="s">
        <v>42</v>
      </c>
      <c r="D356" s="7" t="s">
        <v>1010</v>
      </c>
      <c r="G356" s="7" t="s">
        <v>996</v>
      </c>
      <c r="H356" s="3">
        <v>3</v>
      </c>
      <c r="I356" s="2" t="s">
        <v>997</v>
      </c>
      <c r="J356" s="4" t="s">
        <v>78</v>
      </c>
      <c r="K356" s="5">
        <v>24</v>
      </c>
      <c r="M356" s="5">
        <v>24</v>
      </c>
      <c r="N356" s="8">
        <v>3</v>
      </c>
      <c r="O356" s="3" t="s">
        <v>35</v>
      </c>
      <c r="P356" s="4" t="s">
        <v>1011</v>
      </c>
      <c r="Q356" s="5" t="s">
        <v>1012</v>
      </c>
    </row>
    <row r="357" spans="2:17" ht="12.75">
      <c r="B357" s="4" t="s">
        <v>29</v>
      </c>
      <c r="C357" s="49" t="s">
        <v>42</v>
      </c>
      <c r="D357" s="7" t="s">
        <v>1013</v>
      </c>
      <c r="G357" s="7" t="s">
        <v>996</v>
      </c>
      <c r="H357" s="3">
        <v>3</v>
      </c>
      <c r="I357" s="2" t="s">
        <v>997</v>
      </c>
      <c r="J357" s="4" t="s">
        <v>78</v>
      </c>
      <c r="K357" s="5">
        <v>24</v>
      </c>
      <c r="M357" s="5">
        <v>24</v>
      </c>
      <c r="N357" s="8">
        <v>3</v>
      </c>
      <c r="O357" s="3" t="s">
        <v>35</v>
      </c>
      <c r="P357" s="4" t="s">
        <v>1014</v>
      </c>
      <c r="Q357" s="5" t="s">
        <v>1015</v>
      </c>
    </row>
    <row r="358" spans="2:17" ht="12.75">
      <c r="B358" s="4" t="s">
        <v>29</v>
      </c>
      <c r="C358" s="49" t="s">
        <v>42</v>
      </c>
      <c r="D358" s="7" t="s">
        <v>1016</v>
      </c>
      <c r="G358" s="7" t="s">
        <v>996</v>
      </c>
      <c r="H358" s="3">
        <v>3</v>
      </c>
      <c r="I358" s="2" t="s">
        <v>997</v>
      </c>
      <c r="J358" s="4" t="s">
        <v>78</v>
      </c>
      <c r="K358" s="5">
        <v>24</v>
      </c>
      <c r="M358" s="5">
        <v>24</v>
      </c>
      <c r="N358" s="8">
        <v>3</v>
      </c>
      <c r="O358" s="3" t="s">
        <v>35</v>
      </c>
      <c r="P358" s="4" t="s">
        <v>1017</v>
      </c>
      <c r="Q358" s="5" t="s">
        <v>1018</v>
      </c>
    </row>
    <row r="359" spans="2:17" ht="12.75">
      <c r="B359" s="4" t="s">
        <v>29</v>
      </c>
      <c r="C359" s="49" t="s">
        <v>42</v>
      </c>
      <c r="D359" s="7" t="s">
        <v>1019</v>
      </c>
      <c r="G359" s="7" t="s">
        <v>996</v>
      </c>
      <c r="H359" s="3">
        <v>3</v>
      </c>
      <c r="I359" s="2" t="s">
        <v>997</v>
      </c>
      <c r="J359" s="4" t="s">
        <v>78</v>
      </c>
      <c r="K359" s="5">
        <v>24</v>
      </c>
      <c r="M359" s="5">
        <v>24</v>
      </c>
      <c r="N359" s="8">
        <v>3</v>
      </c>
      <c r="O359" s="3" t="s">
        <v>35</v>
      </c>
      <c r="P359" s="4" t="s">
        <v>444</v>
      </c>
      <c r="Q359" s="5" t="s">
        <v>445</v>
      </c>
    </row>
    <row r="360" spans="2:17" ht="12.75">
      <c r="B360" s="4" t="s">
        <v>29</v>
      </c>
      <c r="C360" s="49" t="s">
        <v>42</v>
      </c>
      <c r="D360" s="7" t="s">
        <v>1020</v>
      </c>
      <c r="G360" s="7" t="s">
        <v>996</v>
      </c>
      <c r="H360" s="3">
        <v>4</v>
      </c>
      <c r="I360" s="2" t="s">
        <v>997</v>
      </c>
      <c r="J360" s="4" t="s">
        <v>78</v>
      </c>
      <c r="K360" s="5">
        <v>24</v>
      </c>
      <c r="M360" s="5">
        <v>24</v>
      </c>
      <c r="N360" s="8">
        <v>3</v>
      </c>
      <c r="O360" s="3" t="s">
        <v>35</v>
      </c>
      <c r="P360" s="4" t="s">
        <v>1021</v>
      </c>
      <c r="Q360" s="5" t="s">
        <v>1012</v>
      </c>
    </row>
    <row r="361" spans="2:17" ht="12.75">
      <c r="B361" s="4" t="s">
        <v>29</v>
      </c>
      <c r="C361" s="49" t="s">
        <v>42</v>
      </c>
      <c r="D361" s="7" t="s">
        <v>1022</v>
      </c>
      <c r="G361" s="7" t="s">
        <v>996</v>
      </c>
      <c r="H361" s="3">
        <v>4</v>
      </c>
      <c r="I361" s="2" t="s">
        <v>997</v>
      </c>
      <c r="J361" s="4" t="s">
        <v>78</v>
      </c>
      <c r="K361" s="5">
        <v>24</v>
      </c>
      <c r="M361" s="5">
        <v>24</v>
      </c>
      <c r="N361" s="8">
        <v>3</v>
      </c>
      <c r="O361" s="3" t="s">
        <v>35</v>
      </c>
      <c r="P361" s="4" t="s">
        <v>1023</v>
      </c>
      <c r="Q361" s="5" t="s">
        <v>1024</v>
      </c>
    </row>
    <row r="362" spans="2:17" ht="22.5">
      <c r="B362" s="4" t="s">
        <v>29</v>
      </c>
      <c r="C362" s="49" t="s">
        <v>42</v>
      </c>
      <c r="D362" s="7" t="s">
        <v>1025</v>
      </c>
      <c r="G362" s="7" t="s">
        <v>996</v>
      </c>
      <c r="H362" s="3">
        <v>4</v>
      </c>
      <c r="I362" s="2" t="s">
        <v>997</v>
      </c>
      <c r="J362" s="4" t="s">
        <v>78</v>
      </c>
      <c r="K362" s="5">
        <v>24</v>
      </c>
      <c r="M362" s="5">
        <v>24</v>
      </c>
      <c r="N362" s="8">
        <v>3</v>
      </c>
      <c r="O362" s="3" t="s">
        <v>35</v>
      </c>
      <c r="P362" s="4" t="s">
        <v>1026</v>
      </c>
      <c r="Q362" s="5" t="s">
        <v>1027</v>
      </c>
    </row>
    <row r="363" spans="2:17" ht="12.75">
      <c r="B363" s="4" t="s">
        <v>29</v>
      </c>
      <c r="C363" s="49" t="s">
        <v>42</v>
      </c>
      <c r="D363" s="7" t="s">
        <v>1028</v>
      </c>
      <c r="G363" s="7" t="s">
        <v>996</v>
      </c>
      <c r="H363" s="3">
        <v>4</v>
      </c>
      <c r="I363" s="2" t="s">
        <v>997</v>
      </c>
      <c r="J363" s="4" t="s">
        <v>78</v>
      </c>
      <c r="K363" s="5">
        <v>24</v>
      </c>
      <c r="M363" s="5">
        <v>24</v>
      </c>
      <c r="N363" s="8">
        <v>3</v>
      </c>
      <c r="O363" s="3" t="s">
        <v>35</v>
      </c>
      <c r="P363" s="4" t="s">
        <v>1029</v>
      </c>
      <c r="Q363" s="5" t="s">
        <v>232</v>
      </c>
    </row>
    <row r="364" spans="2:17" ht="12.75">
      <c r="B364" s="4" t="s">
        <v>29</v>
      </c>
      <c r="C364" s="49" t="s">
        <v>42</v>
      </c>
      <c r="D364" s="7" t="s">
        <v>1030</v>
      </c>
      <c r="G364" s="7" t="s">
        <v>996</v>
      </c>
      <c r="H364" s="3">
        <v>4</v>
      </c>
      <c r="I364" s="2" t="s">
        <v>997</v>
      </c>
      <c r="J364" s="4" t="s">
        <v>78</v>
      </c>
      <c r="K364" s="5">
        <v>24</v>
      </c>
      <c r="M364" s="5">
        <v>24</v>
      </c>
      <c r="N364" s="8">
        <v>3</v>
      </c>
      <c r="O364" s="3" t="s">
        <v>35</v>
      </c>
      <c r="P364" s="4" t="s">
        <v>444</v>
      </c>
      <c r="Q364" s="5" t="s">
        <v>445</v>
      </c>
    </row>
    <row r="365" spans="2:17" ht="12.75">
      <c r="B365" s="4" t="s">
        <v>29</v>
      </c>
      <c r="C365" s="49" t="s">
        <v>42</v>
      </c>
      <c r="D365" s="7" t="s">
        <v>1031</v>
      </c>
      <c r="G365" s="7" t="s">
        <v>1032</v>
      </c>
      <c r="H365" s="3">
        <v>1</v>
      </c>
      <c r="I365" s="2" t="s">
        <v>1033</v>
      </c>
      <c r="J365" s="4" t="s">
        <v>78</v>
      </c>
      <c r="K365" s="5">
        <v>28</v>
      </c>
      <c r="M365" s="5">
        <v>100</v>
      </c>
      <c r="N365" s="8">
        <v>8</v>
      </c>
      <c r="O365" s="3" t="s">
        <v>1034</v>
      </c>
      <c r="P365" s="4" t="s">
        <v>1035</v>
      </c>
      <c r="Q365" s="5" t="s">
        <v>558</v>
      </c>
    </row>
    <row r="366" spans="2:17" ht="12.75">
      <c r="B366" s="4" t="s">
        <v>29</v>
      </c>
      <c r="C366" s="49" t="s">
        <v>42</v>
      </c>
      <c r="D366" s="7" t="s">
        <v>1036</v>
      </c>
      <c r="G366" s="7" t="s">
        <v>1032</v>
      </c>
      <c r="H366" s="3">
        <v>1</v>
      </c>
      <c r="I366" s="2" t="s">
        <v>1033</v>
      </c>
      <c r="J366" s="4" t="s">
        <v>78</v>
      </c>
      <c r="K366" s="5">
        <v>28</v>
      </c>
      <c r="M366" s="5">
        <v>100</v>
      </c>
      <c r="N366" s="8">
        <v>8</v>
      </c>
      <c r="O366" s="3" t="s">
        <v>1034</v>
      </c>
      <c r="P366" s="4" t="s">
        <v>1037</v>
      </c>
      <c r="Q366" s="5" t="s">
        <v>1038</v>
      </c>
    </row>
    <row r="367" spans="2:17" ht="12.75">
      <c r="B367" s="4" t="s">
        <v>29</v>
      </c>
      <c r="C367" s="49" t="s">
        <v>42</v>
      </c>
      <c r="D367" s="7" t="s">
        <v>1039</v>
      </c>
      <c r="G367" s="7" t="s">
        <v>1032</v>
      </c>
      <c r="H367" s="3">
        <v>1</v>
      </c>
      <c r="I367" s="2" t="s">
        <v>1033</v>
      </c>
      <c r="J367" s="4" t="s">
        <v>78</v>
      </c>
      <c r="K367" s="5">
        <v>28</v>
      </c>
      <c r="M367" s="5">
        <v>100</v>
      </c>
      <c r="N367" s="8">
        <v>8</v>
      </c>
      <c r="O367" s="3" t="s">
        <v>1034</v>
      </c>
      <c r="P367" s="4" t="s">
        <v>231</v>
      </c>
      <c r="Q367" s="5" t="s">
        <v>232</v>
      </c>
    </row>
    <row r="368" spans="2:17" ht="12.75">
      <c r="B368" s="4" t="s">
        <v>29</v>
      </c>
      <c r="C368" s="49" t="s">
        <v>42</v>
      </c>
      <c r="D368" s="7" t="s">
        <v>1040</v>
      </c>
      <c r="G368" s="7" t="s">
        <v>1032</v>
      </c>
      <c r="H368" s="3">
        <v>1</v>
      </c>
      <c r="I368" s="2" t="s">
        <v>1033</v>
      </c>
      <c r="J368" s="4" t="s">
        <v>78</v>
      </c>
      <c r="K368" s="5">
        <v>28</v>
      </c>
      <c r="M368" s="5">
        <v>100</v>
      </c>
      <c r="N368" s="8">
        <v>8</v>
      </c>
      <c r="O368" s="3" t="s">
        <v>1034</v>
      </c>
      <c r="P368" s="4" t="s">
        <v>371</v>
      </c>
      <c r="Q368" s="5" t="s">
        <v>372</v>
      </c>
    </row>
    <row r="369" spans="14:14">
      <c r="N369" s="2"/>
    </row>
  </sheetData>
  <sortState xmlns:xlrd2="http://schemas.microsoft.com/office/spreadsheetml/2017/richdata2" ref="B2:XDL300">
    <sortCondition ref="B2:B300"/>
    <sortCondition ref="C2:C300"/>
    <sortCondition ref="D2:D300"/>
    <sortCondition ref="G2:G300"/>
    <sortCondition ref="F2:F300"/>
    <sortCondition ref="J2:J300"/>
  </sortState>
  <pageMargins left="0.7" right="0.7" top="0.75" bottom="0.75" header="0.3" footer="0.3"/>
  <pageSetup scale="3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Imelda Jarero Kumul</dc:creator>
  <cp:keywords/>
  <dc:description/>
  <cp:lastModifiedBy/>
  <cp:revision/>
  <dcterms:created xsi:type="dcterms:W3CDTF">2024-04-15T23:09:18Z</dcterms:created>
  <dcterms:modified xsi:type="dcterms:W3CDTF">2026-07-15T12:42:52Z</dcterms:modified>
  <cp:category/>
  <cp:contentStatus/>
</cp:coreProperties>
</file>